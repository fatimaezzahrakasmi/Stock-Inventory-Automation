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72ba20b8b40a98f/Desktop/"/>
    </mc:Choice>
  </mc:AlternateContent>
  <xr:revisionPtr revIDLastSave="9" documentId="8_{D283E4BA-8764-4251-91D7-3EB3C4DD27CD}" xr6:coauthVersionLast="47" xr6:coauthVersionMax="47" xr10:uidLastSave="{C4024107-D9E4-405E-B612-33A140E55945}"/>
  <bookViews>
    <workbookView xWindow="-108" yWindow="-108" windowWidth="23256" windowHeight="12456" xr2:uid="{4E487EA0-C0DD-4AE6-B807-5815B4CFBEF6}"/>
  </bookViews>
  <sheets>
    <sheet name="vente" sheetId="1" r:id="rId1"/>
    <sheet name=" stock" sheetId="3" r:id="rId2"/>
    <sheet name="client" sheetId="6" r:id="rId3"/>
    <sheet name="details" sheetId="5" r:id="rId4"/>
    <sheet name="facture" sheetId="4" r:id="rId5"/>
  </sheets>
  <definedNames>
    <definedName name="_xlnm.Print_Area" localSheetId="4">facture!$A$1:$G$47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5" l="1"/>
  <c r="C11" i="4"/>
  <c r="B11" i="4"/>
  <c r="C12" i="4"/>
  <c r="B12" i="4"/>
  <c r="C13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11" i="4"/>
  <c r="G6" i="5"/>
  <c r="F11" i="1"/>
</calcChain>
</file>

<file path=xl/sharedStrings.xml><?xml version="1.0" encoding="utf-8"?>
<sst xmlns="http://schemas.openxmlformats.org/spreadsheetml/2006/main" count="94" uniqueCount="54">
  <si>
    <t>التاريخ</t>
  </si>
  <si>
    <t>التصنيف</t>
  </si>
  <si>
    <t>الرمز التعريفي</t>
  </si>
  <si>
    <t xml:space="preserve">سجل المبيعات </t>
  </si>
  <si>
    <t>تاريخ المبيعات</t>
  </si>
  <si>
    <t>اسم العميل</t>
  </si>
  <si>
    <t>عدد المبيعات</t>
  </si>
  <si>
    <t>سعر المبيعات</t>
  </si>
  <si>
    <t>إجمالي المبيعات</t>
  </si>
  <si>
    <t>المخزون الأولي</t>
  </si>
  <si>
    <t>المدخلات</t>
  </si>
  <si>
    <t>المخرجات</t>
  </si>
  <si>
    <t>المخزون الحالي</t>
  </si>
  <si>
    <t>حالة المخزون</t>
  </si>
  <si>
    <t>المخزون الرئيسي</t>
  </si>
  <si>
    <t>إسم المنتج</t>
  </si>
  <si>
    <t>سعر الوحدة</t>
  </si>
  <si>
    <t>تفاصيل المخزون</t>
  </si>
  <si>
    <t>المعلومات</t>
  </si>
  <si>
    <t>إسم الزبون</t>
  </si>
  <si>
    <t>العنوان</t>
  </si>
  <si>
    <t>الهاتف</t>
  </si>
  <si>
    <t>المدينة</t>
  </si>
  <si>
    <t>الإيميل</t>
  </si>
  <si>
    <t>رقم الهاتف</t>
  </si>
  <si>
    <t>تاريخ التسجيل</t>
  </si>
  <si>
    <t>الفواتير</t>
  </si>
  <si>
    <t>إملء هنا</t>
  </si>
  <si>
    <t>فاتورة</t>
  </si>
  <si>
    <t>الإسم</t>
  </si>
  <si>
    <t>المبلغ</t>
  </si>
  <si>
    <t>المجموع</t>
  </si>
  <si>
    <t>s1</t>
  </si>
  <si>
    <t>pjn</t>
  </si>
  <si>
    <t>mohamed</t>
  </si>
  <si>
    <t>p1</t>
  </si>
  <si>
    <t>p2</t>
  </si>
  <si>
    <t>سجل الزبناء</t>
  </si>
  <si>
    <t>p3</t>
  </si>
  <si>
    <t>pon girl</t>
  </si>
  <si>
    <t>pon boy</t>
  </si>
  <si>
    <t>pon</t>
  </si>
  <si>
    <t>Rupture de stock</t>
  </si>
  <si>
    <t>الرقم التعريفي</t>
  </si>
  <si>
    <t>bilal</t>
  </si>
  <si>
    <t>bni makada</t>
  </si>
  <si>
    <t>Dossier Factures</t>
  </si>
  <si>
    <t>ayman</t>
  </si>
  <si>
    <t>maimoun</t>
  </si>
  <si>
    <t>En stock</t>
  </si>
  <si>
    <t>imad</t>
  </si>
  <si>
    <t>jirari</t>
  </si>
  <si>
    <t>tanger</t>
  </si>
  <si>
    <t>F-2024-09-0018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</si>
</sst>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&quot;DH&quot;_-;\-* #,##0.00\ &quot;DH&quot;_-;_-* &quot;-&quot;??\ &quot;DH&quot;_-;_-@_-"/>
  </numFmts>
  <fonts count="12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78">
    <xf numFmtId="0" fontId="0" fillId="0" borderId="0" xfId="0"/>
    <xf numFmtId="0" fontId="0" fillId="2" borderId="0" xfId="0" applyFill="1"/>
    <xf numFmtId="0" fontId="0" fillId="2" borderId="2" xfId="0" applyFill="1" applyBorder="1"/>
    <xf numFmtId="0" fontId="0" fillId="2" borderId="3" xfId="0" applyFill="1" applyBorder="1"/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3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49" fontId="7" fillId="2" borderId="0" xfId="1" applyNumberFormat="1" applyFont="1" applyFill="1" applyAlignment="1">
      <alignment horizontal="center" vertical="center"/>
    </xf>
    <xf numFmtId="164" fontId="7" fillId="2" borderId="0" xfId="1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14" fontId="0" fillId="3" borderId="0" xfId="0" applyNumberFormat="1" applyFill="1"/>
    <xf numFmtId="0" fontId="0" fillId="0" borderId="5" xfId="0" applyBorder="1"/>
    <xf numFmtId="0" fontId="0" fillId="0" borderId="3" xfId="0" applyBorder="1"/>
    <xf numFmtId="0" fontId="0" fillId="0" borderId="2" xfId="0" applyBorder="1"/>
    <xf numFmtId="0" fontId="0" fillId="0" borderId="10" xfId="0" applyBorder="1"/>
    <xf numFmtId="0" fontId="8" fillId="3" borderId="0" xfId="2" applyFill="1"/>
    <xf numFmtId="0" fontId="0" fillId="0" borderId="0" xfId="0" applyAlignment="1">
      <alignment horizontal="center" vertical="center"/>
    </xf>
    <xf numFmtId="0" fontId="0" fillId="0" borderId="11" xfId="0" applyBorder="1"/>
    <xf numFmtId="49" fontId="0" fillId="0" borderId="0" xfId="0" applyNumberFormat="1"/>
    <xf numFmtId="0" fontId="0" fillId="0" borderId="9" xfId="0" applyBorder="1" applyAlignment="1">
      <alignment horizontal="left"/>
    </xf>
    <xf numFmtId="0" fontId="9" fillId="0" borderId="0" xfId="0" applyFont="1" applyAlignment="1">
      <alignment horizontal="right"/>
    </xf>
    <xf numFmtId="164" fontId="0" fillId="0" borderId="12" xfId="1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15" xfId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164" fontId="0" fillId="2" borderId="0" xfId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8" fillId="2" borderId="9" xfId="2" applyFill="1" applyBorder="1" applyAlignment="1">
      <alignment horizontal="center" vertical="center"/>
    </xf>
    <xf numFmtId="0" fontId="8" fillId="2" borderId="0" xfId="2" applyFill="1" applyAlignment="1">
      <alignment horizontal="center" vertical="center"/>
    </xf>
    <xf numFmtId="14" fontId="7" fillId="2" borderId="0" xfId="0" applyNumberFormat="1" applyFont="1" applyFill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64" fontId="0" fillId="0" borderId="13" xfId="1" applyFont="1" applyBorder="1" applyAlignment="1">
      <alignment horizontal="center" vertical="center"/>
    </xf>
    <xf numFmtId="164" fontId="0" fillId="0" borderId="0" xfId="1" applyFont="1" applyBorder="1" applyAlignment="1">
      <alignment horizontal="center" vertical="center"/>
    </xf>
    <xf numFmtId="164" fontId="0" fillId="0" borderId="18" xfId="1" applyFont="1" applyBorder="1" applyAlignment="1">
      <alignment horizontal="center" vertical="center"/>
    </xf>
    <xf numFmtId="164" fontId="0" fillId="3" borderId="17" xfId="1" applyFont="1" applyFill="1" applyBorder="1" applyAlignment="1">
      <alignment vertical="center"/>
    </xf>
    <xf numFmtId="0" fontId="0" fillId="3" borderId="19" xfId="0" applyFill="1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0" fillId="4" borderId="6" xfId="0" applyNumberFormat="1" applyFill="1" applyBorder="1" applyAlignment="1">
      <alignment horizontal="center" vertical="center"/>
    </xf>
    <xf numFmtId="14" fontId="0" fillId="4" borderId="4" xfId="0" applyNumberForma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</cellXfs>
  <cellStyles count="3">
    <cellStyle name="Lien hypertexte" xfId="2" builtinId="8"/>
    <cellStyle name="Monétaire" xfId="1" builtinId="4"/>
    <cellStyle name="Normal" xfId="0" builtinId="0"/>
  </cellStyles>
  <dxfs count="36"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numFmt numFmtId="165" formatCode="dd/mm/yyyy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numFmt numFmtId="164" formatCode="_-* #,##0.00\ &quot;DH&quot;_-;\-* #,##0.00\ &quot;DH&quot;_-;_-* &quot;-&quot;??\ &quot;DH&quot;_-;_-@_-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numFmt numFmtId="164" formatCode="_-* #,##0.00\ &quot;DH&quot;_-;\-* #,##0.00\ &quot;DH&quot;_-;_-* &quot;-&quot;??\ &quot;DH&quot;_-;_-@_-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198120</xdr:colOff>
      <xdr:row>8</xdr:row>
      <xdr:rowOff>243840</xdr:rowOff>
    </xdr:from>
    <xdr:to>
      <xdr:col>9</xdr:col>
      <xdr:colOff>411480</xdr:colOff>
      <xdr:row>10</xdr:row>
      <xdr:rowOff>190500</xdr:rowOff>
    </xdr:to>
    <xdr:sp macro="[0]!AddToTabl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DCC92AA3-2615-4D51-992E-3E0014BA293C}"/>
            </a:ext>
          </a:extLst>
        </xdr:cNvPr>
        <xdr:cNvSpPr/>
      </xdr:nvSpPr>
      <xdr:spPr>
        <a:xfrm>
          <a:off x="8023860" y="2255520"/>
          <a:ext cx="1546860" cy="449580"/>
        </a:xfrm>
        <a:prstGeom prst="roundRect">
          <a:avLst>
            <a:gd name="adj" fmla="val 22881"/>
          </a:avLst>
        </a:prstGeom>
        <a:solidFill>
          <a:schemeClr val="tx2">
            <a:lumMod val="75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1600">
              <a:solidFill>
                <a:schemeClr val="bg1"/>
              </a:solidFill>
            </a:rPr>
            <a:t>ترحيل المبيعات</a:t>
          </a:r>
          <a:endParaRPr lang="fr-FR" sz="16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121920</xdr:colOff>
      <xdr:row>3</xdr:row>
      <xdr:rowOff>152400</xdr:rowOff>
    </xdr:from>
    <xdr:to>
      <xdr:col>2</xdr:col>
      <xdr:colOff>685800</xdr:colOff>
      <xdr:row>5</xdr:row>
      <xdr:rowOff>144780</xdr:rowOff>
    </xdr:to>
    <xdr:sp macro="[0]!allerFeuilStock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390E7ED-8875-447B-9489-C207DFAE90C0}"/>
            </a:ext>
          </a:extLst>
        </xdr:cNvPr>
        <xdr:cNvSpPr/>
      </xdr:nvSpPr>
      <xdr:spPr>
        <a:xfrm>
          <a:off x="121920" y="906780"/>
          <a:ext cx="1318260" cy="4953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AE" sz="1400" b="1">
              <a:solidFill>
                <a:schemeClr val="bg1"/>
              </a:solidFill>
            </a:rPr>
            <a:t>المخزون الرئيسي</a:t>
          </a:r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121920</xdr:colOff>
      <xdr:row>6</xdr:row>
      <xdr:rowOff>152400</xdr:rowOff>
    </xdr:from>
    <xdr:to>
      <xdr:col>2</xdr:col>
      <xdr:colOff>685800</xdr:colOff>
      <xdr:row>8</xdr:row>
      <xdr:rowOff>91440</xdr:rowOff>
    </xdr:to>
    <xdr:sp macro="[0]!allerFeuileClient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CA9E86AD-8FD2-43EC-8310-499345CBD852}"/>
            </a:ext>
          </a:extLst>
        </xdr:cNvPr>
        <xdr:cNvSpPr/>
      </xdr:nvSpPr>
      <xdr:spPr>
        <a:xfrm>
          <a:off x="121920" y="1661160"/>
          <a:ext cx="1318260" cy="44196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الزبناء</a:t>
          </a:r>
          <a:endParaRPr lang="fr-FR" sz="1600" b="1">
            <a:effectLst/>
          </a:endParaRPr>
        </a:p>
        <a:p>
          <a:pPr algn="ctr"/>
          <a:endParaRPr lang="fr-FR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121920</xdr:colOff>
      <xdr:row>9</xdr:row>
      <xdr:rowOff>190500</xdr:rowOff>
    </xdr:from>
    <xdr:to>
      <xdr:col>2</xdr:col>
      <xdr:colOff>693420</xdr:colOff>
      <xdr:row>12</xdr:row>
      <xdr:rowOff>22860</xdr:rowOff>
    </xdr:to>
    <xdr:sp macro="[0]!allerFeuileDetail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BE6456C2-29F6-4C51-BED4-7BED84FE7AD9}"/>
            </a:ext>
          </a:extLst>
        </xdr:cNvPr>
        <xdr:cNvSpPr/>
      </xdr:nvSpPr>
      <xdr:spPr>
        <a:xfrm>
          <a:off x="121920" y="2453640"/>
          <a:ext cx="1325880" cy="58674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AE" sz="1400" b="1">
              <a:solidFill>
                <a:schemeClr val="bg1"/>
              </a:solidFill>
            </a:rPr>
            <a:t>معاملات المخزون اليومية</a:t>
          </a:r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4</xdr:col>
      <xdr:colOff>220980</xdr:colOff>
      <xdr:row>0</xdr:row>
      <xdr:rowOff>16328</xdr:rowOff>
    </xdr:from>
    <xdr:to>
      <xdr:col>4</xdr:col>
      <xdr:colOff>1013460</xdr:colOff>
      <xdr:row>3</xdr:row>
      <xdr:rowOff>72074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1DF51E86-995C-44CD-B40A-1DB68BDA3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9060" y="16328"/>
          <a:ext cx="792480" cy="810126"/>
        </a:xfrm>
        <a:prstGeom prst="rect">
          <a:avLst/>
        </a:prstGeom>
      </xdr:spPr>
    </xdr:pic>
    <xdr:clientData/>
  </xdr:twoCellAnchor>
  <xdr:twoCellAnchor editAs="oneCell">
    <xdr:from>
      <xdr:col>8</xdr:col>
      <xdr:colOff>30480</xdr:colOff>
      <xdr:row>0</xdr:row>
      <xdr:rowOff>16328</xdr:rowOff>
    </xdr:from>
    <xdr:to>
      <xdr:col>8</xdr:col>
      <xdr:colOff>822960</xdr:colOff>
      <xdr:row>3</xdr:row>
      <xdr:rowOff>72074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1B88F26-501B-42FA-9D84-53A0528C7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56220" y="16328"/>
          <a:ext cx="792480" cy="810126"/>
        </a:xfrm>
        <a:prstGeom prst="rect">
          <a:avLst/>
        </a:prstGeom>
      </xdr:spPr>
    </xdr:pic>
    <xdr:clientData/>
  </xdr:twoCellAnchor>
  <xdr:twoCellAnchor>
    <xdr:from>
      <xdr:col>0</xdr:col>
      <xdr:colOff>144780</xdr:colOff>
      <xdr:row>12</xdr:row>
      <xdr:rowOff>205740</xdr:rowOff>
    </xdr:from>
    <xdr:to>
      <xdr:col>2</xdr:col>
      <xdr:colOff>670560</xdr:colOff>
      <xdr:row>15</xdr:row>
      <xdr:rowOff>190500</xdr:rowOff>
    </xdr:to>
    <xdr:sp macro="[0]!allerFeuilFactur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CB5C16B-F16B-49BE-AF68-19112E7846F5}"/>
            </a:ext>
          </a:extLst>
        </xdr:cNvPr>
        <xdr:cNvSpPr/>
      </xdr:nvSpPr>
      <xdr:spPr>
        <a:xfrm>
          <a:off x="144780" y="3223260"/>
          <a:ext cx="1470660" cy="48768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ar-AE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الفاتورة</a:t>
          </a:r>
          <a:endParaRPr lang="fr-FR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396240</xdr:colOff>
      <xdr:row>5</xdr:row>
      <xdr:rowOff>15240</xdr:rowOff>
    </xdr:from>
    <xdr:to>
      <xdr:col>2</xdr:col>
      <xdr:colOff>129540</xdr:colOff>
      <xdr:row>6</xdr:row>
      <xdr:rowOff>175260</xdr:rowOff>
    </xdr:to>
    <xdr:sp macro="[0]!allerFeuileVen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422D5FC-FA18-4624-B7D2-E42D585D02B6}"/>
            </a:ext>
          </a:extLst>
        </xdr:cNvPr>
        <xdr:cNvSpPr/>
      </xdr:nvSpPr>
      <xdr:spPr>
        <a:xfrm>
          <a:off x="396240" y="1402080"/>
          <a:ext cx="1135380" cy="41148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AE" sz="1600"/>
            <a:t>سجل المبيعات</a:t>
          </a:r>
          <a:endParaRPr lang="fr-FR" sz="1600"/>
        </a:p>
      </xdr:txBody>
    </xdr:sp>
    <xdr:clientData/>
  </xdr:twoCellAnchor>
  <xdr:twoCellAnchor editAs="absolute">
    <xdr:from>
      <xdr:col>0</xdr:col>
      <xdr:colOff>396240</xdr:colOff>
      <xdr:row>7</xdr:row>
      <xdr:rowOff>198120</xdr:rowOff>
    </xdr:from>
    <xdr:to>
      <xdr:col>2</xdr:col>
      <xdr:colOff>129540</xdr:colOff>
      <xdr:row>9</xdr:row>
      <xdr:rowOff>106680</xdr:rowOff>
    </xdr:to>
    <xdr:sp macro="[0]!allerFeuileClien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E2395CF-85F5-4AB1-8AD3-376F26608B6E}"/>
            </a:ext>
          </a:extLst>
        </xdr:cNvPr>
        <xdr:cNvSpPr/>
      </xdr:nvSpPr>
      <xdr:spPr>
        <a:xfrm>
          <a:off x="396240" y="2087880"/>
          <a:ext cx="1135380" cy="41148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AE" sz="2000"/>
            <a:t>الزبناء</a:t>
          </a:r>
          <a:endParaRPr lang="fr-FR" sz="1100"/>
        </a:p>
      </xdr:txBody>
    </xdr:sp>
    <xdr:clientData/>
  </xdr:twoCellAnchor>
  <xdr:twoCellAnchor editAs="absolute">
    <xdr:from>
      <xdr:col>0</xdr:col>
      <xdr:colOff>396240</xdr:colOff>
      <xdr:row>10</xdr:row>
      <xdr:rowOff>175260</xdr:rowOff>
    </xdr:from>
    <xdr:to>
      <xdr:col>2</xdr:col>
      <xdr:colOff>129540</xdr:colOff>
      <xdr:row>12</xdr:row>
      <xdr:rowOff>205740</xdr:rowOff>
    </xdr:to>
    <xdr:sp macro="[0]!allerFeuileDetai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37D0E2FD-944D-4D03-86EC-64C17FF586CD}"/>
            </a:ext>
          </a:extLst>
        </xdr:cNvPr>
        <xdr:cNvSpPr/>
      </xdr:nvSpPr>
      <xdr:spPr>
        <a:xfrm>
          <a:off x="396240" y="2819400"/>
          <a:ext cx="1135380" cy="5334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AE" sz="1200" b="1"/>
            <a:t>معاملات المخزون اليومية</a:t>
          </a:r>
          <a:endParaRPr lang="fr-FR" sz="1200" b="1"/>
        </a:p>
      </xdr:txBody>
    </xdr:sp>
    <xdr:clientData/>
  </xdr:twoCellAnchor>
  <xdr:twoCellAnchor editAs="absolute">
    <xdr:from>
      <xdr:col>0</xdr:col>
      <xdr:colOff>396240</xdr:colOff>
      <xdr:row>14</xdr:row>
      <xdr:rowOff>83820</xdr:rowOff>
    </xdr:from>
    <xdr:to>
      <xdr:col>2</xdr:col>
      <xdr:colOff>129540</xdr:colOff>
      <xdr:row>15</xdr:row>
      <xdr:rowOff>243840</xdr:rowOff>
    </xdr:to>
    <xdr:sp macro="[0]!allerFeuilFacture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92CBEFEE-BBAC-4865-A816-23A39E71786C}"/>
            </a:ext>
          </a:extLst>
        </xdr:cNvPr>
        <xdr:cNvSpPr/>
      </xdr:nvSpPr>
      <xdr:spPr>
        <a:xfrm>
          <a:off x="396240" y="3733800"/>
          <a:ext cx="1135380" cy="41148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AE" sz="2000">
              <a:solidFill>
                <a:schemeClr val="lt1"/>
              </a:solidFill>
              <a:latin typeface="+mn-lt"/>
              <a:ea typeface="+mn-ea"/>
              <a:cs typeface="+mn-cs"/>
            </a:rPr>
            <a:t>الفاتورة</a:t>
          </a:r>
          <a:endParaRPr lang="fr-FR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4</xdr:col>
      <xdr:colOff>838200</xdr:colOff>
      <xdr:row>0</xdr:row>
      <xdr:rowOff>127227</xdr:rowOff>
    </xdr:from>
    <xdr:to>
      <xdr:col>6</xdr:col>
      <xdr:colOff>100965</xdr:colOff>
      <xdr:row>3</xdr:row>
      <xdr:rowOff>74294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3960A37B-7E2E-4422-A018-482656746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6680" y="127227"/>
          <a:ext cx="1251585" cy="830987"/>
        </a:xfrm>
        <a:prstGeom prst="rect">
          <a:avLst/>
        </a:prstGeom>
      </xdr:spPr>
    </xdr:pic>
    <xdr:clientData/>
  </xdr:twoCellAnchor>
  <xdr:twoCellAnchor editAs="oneCell">
    <xdr:from>
      <xdr:col>8</xdr:col>
      <xdr:colOff>883920</xdr:colOff>
      <xdr:row>0</xdr:row>
      <xdr:rowOff>119607</xdr:rowOff>
    </xdr:from>
    <xdr:to>
      <xdr:col>10</xdr:col>
      <xdr:colOff>40005</xdr:colOff>
      <xdr:row>3</xdr:row>
      <xdr:rowOff>66674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789CD11B-A6B6-495B-B10F-5D2CF56C8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0060" y="119607"/>
          <a:ext cx="1251585" cy="8309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586740</xdr:colOff>
      <xdr:row>9</xdr:row>
      <xdr:rowOff>38100</xdr:rowOff>
    </xdr:from>
    <xdr:to>
      <xdr:col>10</xdr:col>
      <xdr:colOff>792480</xdr:colOff>
      <xdr:row>10</xdr:row>
      <xdr:rowOff>243840</xdr:rowOff>
    </xdr:to>
    <xdr:sp macro="[0]!Ajoute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80F785D-CF2C-4567-9D8D-D80C7A7660F3}"/>
            </a:ext>
          </a:extLst>
        </xdr:cNvPr>
        <xdr:cNvSpPr/>
      </xdr:nvSpPr>
      <xdr:spPr>
        <a:xfrm>
          <a:off x="9113520" y="2324100"/>
          <a:ext cx="1082040" cy="457200"/>
        </a:xfrm>
        <a:prstGeom prst="roundRect">
          <a:avLst>
            <a:gd name="adj" fmla="val 16234"/>
          </a:avLst>
        </a:prstGeom>
        <a:solidFill>
          <a:schemeClr val="tx2">
            <a:lumMod val="75000"/>
          </a:schemeClr>
        </a:solidFill>
        <a:ln>
          <a:noFill/>
        </a:ln>
        <a:effectLst>
          <a:glow rad="101600">
            <a:schemeClr val="accent1">
              <a:alpha val="2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AE" sz="1400"/>
            <a:t>إضافة زبون</a:t>
          </a:r>
          <a:endParaRPr lang="fr-FR" sz="1400"/>
        </a:p>
      </xdr:txBody>
    </xdr:sp>
    <xdr:clientData/>
  </xdr:twoCellAnchor>
  <xdr:twoCellAnchor editAs="absolute">
    <xdr:from>
      <xdr:col>0</xdr:col>
      <xdr:colOff>304800</xdr:colOff>
      <xdr:row>4</xdr:row>
      <xdr:rowOff>243840</xdr:rowOff>
    </xdr:from>
    <xdr:to>
      <xdr:col>2</xdr:col>
      <xdr:colOff>68580</xdr:colOff>
      <xdr:row>7</xdr:row>
      <xdr:rowOff>15240</xdr:rowOff>
    </xdr:to>
    <xdr:sp macro="[0]!allerFeuileVen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7FFF277-487A-479A-8FED-A59A20EDBA40}"/>
            </a:ext>
          </a:extLst>
        </xdr:cNvPr>
        <xdr:cNvSpPr/>
      </xdr:nvSpPr>
      <xdr:spPr>
        <a:xfrm>
          <a:off x="304800" y="1249680"/>
          <a:ext cx="1348740" cy="52578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AE" sz="1600" b="1"/>
            <a:t>سجل المبيعات</a:t>
          </a:r>
          <a:endParaRPr lang="fr-FR" sz="1600" b="1"/>
        </a:p>
      </xdr:txBody>
    </xdr:sp>
    <xdr:clientData/>
  </xdr:twoCellAnchor>
  <xdr:twoCellAnchor editAs="absolute">
    <xdr:from>
      <xdr:col>0</xdr:col>
      <xdr:colOff>304800</xdr:colOff>
      <xdr:row>14</xdr:row>
      <xdr:rowOff>137160</xdr:rowOff>
    </xdr:from>
    <xdr:to>
      <xdr:col>2</xdr:col>
      <xdr:colOff>68580</xdr:colOff>
      <xdr:row>16</xdr:row>
      <xdr:rowOff>160020</xdr:rowOff>
    </xdr:to>
    <xdr:sp macro="[0]!allerFeuilFacture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9518749-65EF-400D-B21A-2DF97A082A34}"/>
            </a:ext>
          </a:extLst>
        </xdr:cNvPr>
        <xdr:cNvSpPr/>
      </xdr:nvSpPr>
      <xdr:spPr>
        <a:xfrm>
          <a:off x="304800" y="3657600"/>
          <a:ext cx="1348740" cy="52578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AE" sz="1600" b="1"/>
            <a:t>الفاتورة</a:t>
          </a:r>
          <a:endParaRPr lang="fr-FR" sz="1100" b="1"/>
        </a:p>
      </xdr:txBody>
    </xdr:sp>
    <xdr:clientData/>
  </xdr:twoCellAnchor>
  <xdr:twoCellAnchor editAs="absolute">
    <xdr:from>
      <xdr:col>0</xdr:col>
      <xdr:colOff>304800</xdr:colOff>
      <xdr:row>8</xdr:row>
      <xdr:rowOff>38100</xdr:rowOff>
    </xdr:from>
    <xdr:to>
      <xdr:col>2</xdr:col>
      <xdr:colOff>68580</xdr:colOff>
      <xdr:row>10</xdr:row>
      <xdr:rowOff>60960</xdr:rowOff>
    </xdr:to>
    <xdr:sp macro="[0]!allerFeuilStock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12458F6C-3256-4530-B883-75213A191B9C}"/>
            </a:ext>
          </a:extLst>
        </xdr:cNvPr>
        <xdr:cNvSpPr/>
      </xdr:nvSpPr>
      <xdr:spPr>
        <a:xfrm>
          <a:off x="304800" y="2049780"/>
          <a:ext cx="1348740" cy="52578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AE" sz="1400" b="1"/>
            <a:t>المخزون الرئيسي</a:t>
          </a:r>
          <a:endParaRPr lang="fr-FR" sz="1400" b="1"/>
        </a:p>
      </xdr:txBody>
    </xdr:sp>
    <xdr:clientData/>
  </xdr:twoCellAnchor>
  <xdr:twoCellAnchor editAs="absolute">
    <xdr:from>
      <xdr:col>0</xdr:col>
      <xdr:colOff>304800</xdr:colOff>
      <xdr:row>11</xdr:row>
      <xdr:rowOff>53340</xdr:rowOff>
    </xdr:from>
    <xdr:to>
      <xdr:col>2</xdr:col>
      <xdr:colOff>68580</xdr:colOff>
      <xdr:row>13</xdr:row>
      <xdr:rowOff>144780</xdr:rowOff>
    </xdr:to>
    <xdr:sp macro="[0]!allerFeuileDetail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E97CCB7-3C70-4CBF-AE39-0170CEEB0A59}"/>
            </a:ext>
          </a:extLst>
        </xdr:cNvPr>
        <xdr:cNvSpPr/>
      </xdr:nvSpPr>
      <xdr:spPr>
        <a:xfrm>
          <a:off x="304800" y="2819400"/>
          <a:ext cx="1348740" cy="59436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AE" sz="1400" b="1"/>
            <a:t>معاملات المخزون اليومية</a:t>
          </a:r>
          <a:endParaRPr lang="fr-FR" sz="1400" b="1"/>
        </a:p>
      </xdr:txBody>
    </xdr:sp>
    <xdr:clientData/>
  </xdr:twoCellAnchor>
  <xdr:twoCellAnchor editAs="oneCell">
    <xdr:from>
      <xdr:col>9</xdr:col>
      <xdr:colOff>152926</xdr:colOff>
      <xdr:row>0</xdr:row>
      <xdr:rowOff>129540</xdr:rowOff>
    </xdr:from>
    <xdr:to>
      <xdr:col>10</xdr:col>
      <xdr:colOff>236220</xdr:colOff>
      <xdr:row>3</xdr:row>
      <xdr:rowOff>22860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D57D5A35-5690-41AF-8F17-43C1E04AD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lum bright="70000" contrast="-7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WatercolorSponge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9706" y="129540"/>
          <a:ext cx="959594" cy="670560"/>
        </a:xfrm>
        <a:prstGeom prst="rect">
          <a:avLst/>
        </a:prstGeom>
      </xdr:spPr>
    </xdr:pic>
    <xdr:clientData/>
  </xdr:twoCellAnchor>
  <xdr:twoCellAnchor editAs="oneCell">
    <xdr:from>
      <xdr:col>5</xdr:col>
      <xdr:colOff>160546</xdr:colOff>
      <xdr:row>0</xdr:row>
      <xdr:rowOff>129540</xdr:rowOff>
    </xdr:from>
    <xdr:to>
      <xdr:col>5</xdr:col>
      <xdr:colOff>1120140</xdr:colOff>
      <xdr:row>3</xdr:row>
      <xdr:rowOff>22860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288787D4-6634-483A-8F03-B34C3DAB5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lum bright="70000" contrast="-7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WatercolorSponge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0106" y="129540"/>
          <a:ext cx="959594" cy="6705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502920</xdr:colOff>
      <xdr:row>3</xdr:row>
      <xdr:rowOff>114300</xdr:rowOff>
    </xdr:from>
    <xdr:to>
      <xdr:col>10</xdr:col>
      <xdr:colOff>525780</xdr:colOff>
      <xdr:row>5</xdr:row>
      <xdr:rowOff>53340</xdr:rowOff>
    </xdr:to>
    <xdr:sp macro="[0]!transfertData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48462FA-30A0-44F9-801C-C35857E9612E}"/>
            </a:ext>
          </a:extLst>
        </xdr:cNvPr>
        <xdr:cNvSpPr/>
      </xdr:nvSpPr>
      <xdr:spPr>
        <a:xfrm>
          <a:off x="8686800" y="868680"/>
          <a:ext cx="1082040" cy="441960"/>
        </a:xfrm>
        <a:prstGeom prst="roundRect">
          <a:avLst>
            <a:gd name="adj" fmla="val 27586"/>
          </a:avLst>
        </a:prstGeom>
        <a:solidFill>
          <a:schemeClr val="tx2">
            <a:lumMod val="75000"/>
          </a:schemeClr>
        </a:solidFill>
        <a:ln>
          <a:noFill/>
        </a:ln>
        <a:effectLst>
          <a:glow rad="101600">
            <a:schemeClr val="accent1">
              <a:alpha val="2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MA" sz="2400"/>
            <a:t>تعديل</a:t>
          </a:r>
          <a:endParaRPr lang="fr-FR" sz="1100"/>
        </a:p>
      </xdr:txBody>
    </xdr:sp>
    <xdr:clientData/>
  </xdr:twoCellAnchor>
  <xdr:twoCellAnchor editAs="absolute">
    <xdr:from>
      <xdr:col>0</xdr:col>
      <xdr:colOff>160020</xdr:colOff>
      <xdr:row>4</xdr:row>
      <xdr:rowOff>167640</xdr:rowOff>
    </xdr:from>
    <xdr:to>
      <xdr:col>1</xdr:col>
      <xdr:colOff>541020</xdr:colOff>
      <xdr:row>6</xdr:row>
      <xdr:rowOff>137160</xdr:rowOff>
    </xdr:to>
    <xdr:sp macro="[0]!allerFeuileVen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1661CF2-6B21-4EAF-A1F6-BC99815BAAF9}"/>
            </a:ext>
          </a:extLst>
        </xdr:cNvPr>
        <xdr:cNvSpPr/>
      </xdr:nvSpPr>
      <xdr:spPr>
        <a:xfrm>
          <a:off x="160020" y="1173480"/>
          <a:ext cx="1280160" cy="47244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AE" sz="1400" b="1">
              <a:effectLst/>
            </a:rPr>
            <a:t>سجل المبيعات</a:t>
          </a:r>
          <a:endParaRPr lang="fr-FR" sz="1400" b="1">
            <a:effectLst/>
          </a:endParaRPr>
        </a:p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160020</xdr:colOff>
      <xdr:row>6</xdr:row>
      <xdr:rowOff>243840</xdr:rowOff>
    </xdr:from>
    <xdr:to>
      <xdr:col>1</xdr:col>
      <xdr:colOff>541020</xdr:colOff>
      <xdr:row>8</xdr:row>
      <xdr:rowOff>213360</xdr:rowOff>
    </xdr:to>
    <xdr:sp macro="[0]!allerFeuilStock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4CB23EA9-608F-4590-88F8-54BE038B6947}"/>
            </a:ext>
          </a:extLst>
        </xdr:cNvPr>
        <xdr:cNvSpPr/>
      </xdr:nvSpPr>
      <xdr:spPr>
        <a:xfrm>
          <a:off x="160020" y="1752600"/>
          <a:ext cx="1280160" cy="47244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AE" sz="1400" b="1"/>
            <a:t>المخزون الرئيسي</a:t>
          </a:r>
          <a:endParaRPr lang="fr-FR" sz="1400" b="1"/>
        </a:p>
      </xdr:txBody>
    </xdr:sp>
    <xdr:clientData/>
  </xdr:twoCellAnchor>
  <xdr:twoCellAnchor editAs="absolute">
    <xdr:from>
      <xdr:col>0</xdr:col>
      <xdr:colOff>160020</xdr:colOff>
      <xdr:row>9</xdr:row>
      <xdr:rowOff>91440</xdr:rowOff>
    </xdr:from>
    <xdr:to>
      <xdr:col>1</xdr:col>
      <xdr:colOff>541020</xdr:colOff>
      <xdr:row>11</xdr:row>
      <xdr:rowOff>60960</xdr:rowOff>
    </xdr:to>
    <xdr:sp macro="[0]!allerFeuileClient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07F2B6B-8CB6-442D-8CB5-5B2E6C4A367A}"/>
            </a:ext>
          </a:extLst>
        </xdr:cNvPr>
        <xdr:cNvSpPr/>
      </xdr:nvSpPr>
      <xdr:spPr>
        <a:xfrm>
          <a:off x="160020" y="2354580"/>
          <a:ext cx="1280160" cy="47244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AE" sz="1800" b="1"/>
            <a:t>الزبناء</a:t>
          </a:r>
          <a:endParaRPr lang="fr-FR" sz="1100" b="1"/>
        </a:p>
      </xdr:txBody>
    </xdr:sp>
    <xdr:clientData/>
  </xdr:twoCellAnchor>
  <xdr:twoCellAnchor editAs="absolute">
    <xdr:from>
      <xdr:col>0</xdr:col>
      <xdr:colOff>160020</xdr:colOff>
      <xdr:row>11</xdr:row>
      <xdr:rowOff>220980</xdr:rowOff>
    </xdr:from>
    <xdr:to>
      <xdr:col>1</xdr:col>
      <xdr:colOff>541020</xdr:colOff>
      <xdr:row>13</xdr:row>
      <xdr:rowOff>190500</xdr:rowOff>
    </xdr:to>
    <xdr:sp macro="[0]!allerFeuilFactur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4F96D5C3-E641-4DE8-9688-7275570248D4}"/>
            </a:ext>
          </a:extLst>
        </xdr:cNvPr>
        <xdr:cNvSpPr/>
      </xdr:nvSpPr>
      <xdr:spPr>
        <a:xfrm>
          <a:off x="160020" y="2987040"/>
          <a:ext cx="1280160" cy="47244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AE" sz="1600" b="1"/>
            <a:t>الفاتورة</a:t>
          </a:r>
          <a:endParaRPr lang="fr-FR" sz="1100" b="1"/>
        </a:p>
      </xdr:txBody>
    </xdr:sp>
    <xdr:clientData/>
  </xdr:twoCellAnchor>
  <xdr:twoCellAnchor editAs="oneCell">
    <xdr:from>
      <xdr:col>4</xdr:col>
      <xdr:colOff>166960</xdr:colOff>
      <xdr:row>0</xdr:row>
      <xdr:rowOff>7620</xdr:rowOff>
    </xdr:from>
    <xdr:to>
      <xdr:col>5</xdr:col>
      <xdr:colOff>6940</xdr:colOff>
      <xdr:row>3</xdr:row>
      <xdr:rowOff>45720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ADED2B3F-72CF-4CF1-A2FA-BE850E54E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9760" y="7620"/>
          <a:ext cx="792480" cy="792480"/>
        </a:xfrm>
        <a:prstGeom prst="rect">
          <a:avLst/>
        </a:prstGeom>
      </xdr:spPr>
    </xdr:pic>
    <xdr:clientData/>
  </xdr:twoCellAnchor>
  <xdr:twoCellAnchor editAs="oneCell">
    <xdr:from>
      <xdr:col>8</xdr:col>
      <xdr:colOff>6940</xdr:colOff>
      <xdr:row>0</xdr:row>
      <xdr:rowOff>38100</xdr:rowOff>
    </xdr:from>
    <xdr:to>
      <xdr:col>8</xdr:col>
      <xdr:colOff>799420</xdr:colOff>
      <xdr:row>3</xdr:row>
      <xdr:rowOff>76200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8BB7F1B6-CDF1-4F8C-9D46-A107DA71E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54500" y="38100"/>
          <a:ext cx="792480" cy="7924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815340</xdr:colOff>
      <xdr:row>4</xdr:row>
      <xdr:rowOff>15240</xdr:rowOff>
    </xdr:from>
    <xdr:to>
      <xdr:col>9</xdr:col>
      <xdr:colOff>373380</xdr:colOff>
      <xdr:row>6</xdr:row>
      <xdr:rowOff>60960</xdr:rowOff>
    </xdr:to>
    <xdr:sp macro="[0]!GenererSauvgarderFactu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5F39AA47-C787-4264-B6EB-880718DB8BE0}"/>
            </a:ext>
          </a:extLst>
        </xdr:cNvPr>
        <xdr:cNvSpPr/>
      </xdr:nvSpPr>
      <xdr:spPr>
        <a:xfrm>
          <a:off x="6720840" y="792480"/>
          <a:ext cx="1219200" cy="419100"/>
        </a:xfrm>
        <a:prstGeom prst="roundRect">
          <a:avLst>
            <a:gd name="adj" fmla="val 50000"/>
          </a:avLst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r-AE" sz="2000"/>
            <a:t>حفظ</a:t>
          </a:r>
          <a:endParaRPr lang="fr-FR" sz="1100"/>
        </a:p>
      </xdr:txBody>
    </xdr:sp>
    <xdr:clientData/>
  </xdr:twoCellAnchor>
  <xdr:twoCellAnchor editAs="oneCell">
    <xdr:from>
      <xdr:col>5</xdr:col>
      <xdr:colOff>683505</xdr:colOff>
      <xdr:row>0</xdr:row>
      <xdr:rowOff>137160</xdr:rowOff>
    </xdr:from>
    <xdr:to>
      <xdr:col>6</xdr:col>
      <xdr:colOff>731521</xdr:colOff>
      <xdr:row>1</xdr:row>
      <xdr:rowOff>46636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13E3F45D-D1B8-4BE5-8F38-3910836DB9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9825" y="137160"/>
          <a:ext cx="764296" cy="435256"/>
        </a:xfrm>
        <a:prstGeom prst="rect">
          <a:avLst/>
        </a:prstGeom>
      </xdr:spPr>
    </xdr:pic>
    <xdr:clientData/>
  </xdr:twoCellAnchor>
  <xdr:twoCellAnchor>
    <xdr:from>
      <xdr:col>11</xdr:col>
      <xdr:colOff>403860</xdr:colOff>
      <xdr:row>3</xdr:row>
      <xdr:rowOff>83820</xdr:rowOff>
    </xdr:from>
    <xdr:to>
      <xdr:col>13</xdr:col>
      <xdr:colOff>38100</xdr:colOff>
      <xdr:row>6</xdr:row>
      <xdr:rowOff>15240</xdr:rowOff>
    </xdr:to>
    <xdr:sp macro="[0]!allerFeuileClient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80974443-07B9-46CC-BDC7-EE0A55E1B738}"/>
            </a:ext>
          </a:extLst>
        </xdr:cNvPr>
        <xdr:cNvSpPr/>
      </xdr:nvSpPr>
      <xdr:spPr>
        <a:xfrm>
          <a:off x="10218420" y="975360"/>
          <a:ext cx="1295400" cy="48006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الزبناء</a:t>
          </a:r>
          <a:endParaRPr lang="fr-FR" sz="1400" b="1"/>
        </a:p>
      </xdr:txBody>
    </xdr:sp>
    <xdr:clientData/>
  </xdr:twoCellAnchor>
  <xdr:twoCellAnchor>
    <xdr:from>
      <xdr:col>11</xdr:col>
      <xdr:colOff>403860</xdr:colOff>
      <xdr:row>7</xdr:row>
      <xdr:rowOff>45720</xdr:rowOff>
    </xdr:from>
    <xdr:to>
      <xdr:col>13</xdr:col>
      <xdr:colOff>38100</xdr:colOff>
      <xdr:row>9</xdr:row>
      <xdr:rowOff>144780</xdr:rowOff>
    </xdr:to>
    <xdr:sp macro="[0]!allerFeuilStock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CD0F37D-F466-48B2-B9C2-E771A5D9B39C}"/>
            </a:ext>
          </a:extLst>
        </xdr:cNvPr>
        <xdr:cNvSpPr/>
      </xdr:nvSpPr>
      <xdr:spPr>
        <a:xfrm>
          <a:off x="10218420" y="1668780"/>
          <a:ext cx="1295400" cy="48006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AE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المخزون الرئيسي</a:t>
          </a:r>
          <a:endParaRPr lang="fr-FR" sz="1600" b="1">
            <a:effectLst/>
          </a:endParaRPr>
        </a:p>
        <a:p>
          <a:pPr algn="ctr"/>
          <a:endParaRPr lang="fr-FR" sz="1400" b="1"/>
        </a:p>
      </xdr:txBody>
    </xdr:sp>
    <xdr:clientData/>
  </xdr:twoCellAnchor>
  <xdr:twoCellAnchor>
    <xdr:from>
      <xdr:col>11</xdr:col>
      <xdr:colOff>403860</xdr:colOff>
      <xdr:row>0</xdr:row>
      <xdr:rowOff>266700</xdr:rowOff>
    </xdr:from>
    <xdr:to>
      <xdr:col>13</xdr:col>
      <xdr:colOff>38100</xdr:colOff>
      <xdr:row>2</xdr:row>
      <xdr:rowOff>38100</xdr:rowOff>
    </xdr:to>
    <xdr:sp macro="[0]!allerFeuileVent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D6141413-29EB-4929-8DDC-6F220F244AF5}"/>
            </a:ext>
          </a:extLst>
        </xdr:cNvPr>
        <xdr:cNvSpPr/>
      </xdr:nvSpPr>
      <xdr:spPr>
        <a:xfrm>
          <a:off x="10218420" y="266700"/>
          <a:ext cx="1295400" cy="48006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AE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سجل المبيعات</a:t>
          </a:r>
          <a:endParaRPr lang="fr-FR" sz="1800" b="1">
            <a:effectLst/>
          </a:endParaRPr>
        </a:p>
        <a:p>
          <a:pPr algn="ctr"/>
          <a:endParaRPr lang="fr-FR" sz="1400" b="1"/>
        </a:p>
      </xdr:txBody>
    </xdr:sp>
    <xdr:clientData/>
  </xdr:twoCellAnchor>
  <xdr:twoCellAnchor>
    <xdr:from>
      <xdr:col>11</xdr:col>
      <xdr:colOff>403860</xdr:colOff>
      <xdr:row>11</xdr:row>
      <xdr:rowOff>30480</xdr:rowOff>
    </xdr:from>
    <xdr:to>
      <xdr:col>13</xdr:col>
      <xdr:colOff>38100</xdr:colOff>
      <xdr:row>14</xdr:row>
      <xdr:rowOff>38100</xdr:rowOff>
    </xdr:to>
    <xdr:sp macro="[0]!allerFeuileDetail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90048D3-26E8-474A-B2E3-FDA8258849A1}"/>
            </a:ext>
          </a:extLst>
        </xdr:cNvPr>
        <xdr:cNvSpPr/>
      </xdr:nvSpPr>
      <xdr:spPr>
        <a:xfrm>
          <a:off x="10218420" y="2407920"/>
          <a:ext cx="1295400" cy="55626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AE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معاملات المخزون اليومية</a:t>
          </a:r>
          <a:endParaRPr lang="fr-FR" sz="1600" b="1">
            <a:effectLst/>
          </a:endParaRPr>
        </a:p>
        <a:p>
          <a:pPr algn="ctr"/>
          <a:endParaRPr lang="fr-FR" sz="14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74A69A7-9A94-4B80-8C2E-0686323DC122}" name="tableInfo" displayName="tableInfo" ref="D13:J16" totalsRowShown="0" headerRowDxfId="35" dataDxfId="34">
  <autoFilter ref="D13:J16" xr:uid="{1E94872A-6FE4-4790-ABE8-C02C3244A873}">
    <filterColumn colId="5">
      <customFilters>
        <customFilter operator="notEqual" val=" "/>
      </customFilters>
    </filterColumn>
  </autoFilter>
  <tableColumns count="7">
    <tableColumn id="1" xr3:uid="{878AC5D7-8F14-4452-A1BC-6422F121F6C6}" name="إجمالي المبيعات" dataDxfId="33"/>
    <tableColumn id="2" xr3:uid="{BF64E6C1-E0B7-4D9D-97B0-964C38734AF4}" name="سعر المبيعات" dataDxfId="32"/>
    <tableColumn id="3" xr3:uid="{9633D8C1-298A-4E57-B947-8AB13E3B6D57}" name="عدد المبيعات" dataDxfId="31"/>
    <tableColumn id="4" xr3:uid="{4BB24BE3-4E96-4FF5-8AAA-290D9C1CD9B2}" name="الرمز التعريفي" dataDxfId="30"/>
    <tableColumn id="5" xr3:uid="{567D166C-3B08-4F65-B940-341965DE1596}" name="التصنيف" dataDxfId="29"/>
    <tableColumn id="6" xr3:uid="{8A6B3D64-8EE1-4B7D-8A86-D5B14DC0B0D1}" name="اسم العميل" dataDxfId="28"/>
    <tableColumn id="7" xr3:uid="{C68C39A1-7E49-4A37-93DB-3FAA473E6578}" name="تاريخ المبيعات" dataDxfId="2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C1D050-6AE3-4616-AA9B-520A4EC51591}" name="stock" displayName="stock" ref="E5:L8" totalsRowShown="0" headerRowDxfId="26" dataDxfId="25">
  <autoFilter ref="E5:L8" xr:uid="{E9EE58E2-27A4-4133-8887-9F66CF859BB9}"/>
  <tableColumns count="8">
    <tableColumn id="1" xr3:uid="{ECAC4012-5F00-40C0-BE41-53C7EDFF4D43}" name="الرمز التعريفي" dataDxfId="24"/>
    <tableColumn id="2" xr3:uid="{5ADD7177-B13D-485C-8556-B935BFA36A8A}" name="إسم المنتج" dataDxfId="23" dataCellStyle="Monétaire"/>
    <tableColumn id="3" xr3:uid="{BB06E507-565F-450C-81B6-27007430B8E1}" name="المخزون الأولي" dataDxfId="22"/>
    <tableColumn id="4" xr3:uid="{96F7F558-8FF9-43AB-B80D-70A34E9936CD}" name="المدخلات" dataDxfId="21"/>
    <tableColumn id="5" xr3:uid="{4A7BE312-6266-4F82-9DFD-DD9260969391}" name="المخرجات" dataDxfId="20"/>
    <tableColumn id="6" xr3:uid="{CFE2FD11-B422-4AFD-8E18-1B13A128D2DA}" name="المخزون الحالي" dataDxfId="19"/>
    <tableColumn id="7" xr3:uid="{90B36F23-46B9-4B89-9131-45A2970D9E4F}" name="سعر الوحدة" dataDxfId="18" dataCellStyle="Monétaire"/>
    <tableColumn id="8" xr3:uid="{07AF9E3D-9DB0-48ED-8173-4CE3F4414B6E}" name="حالة المخزون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A5A3C6-AA88-40D8-AD8A-3223E1C433FE}" name="Client" displayName="Client" ref="E13:L18" totalsRowShown="0" headerRowDxfId="16" dataDxfId="15">
  <autoFilter ref="E13:L18" xr:uid="{25055640-2A5E-485A-B45E-74BF32EAABEE}"/>
  <tableColumns count="8">
    <tableColumn id="1" xr3:uid="{7F60A7C5-4E42-4277-AF4C-143C33EFB6A9}" name="الفواتير" dataDxfId="14" dataCellStyle="Lien hypertexte"/>
    <tableColumn id="2" xr3:uid="{2CAC9BD6-59F6-4562-9B59-5EBC58887669}" name="تاريخ التسجيل" dataDxfId="13"/>
    <tableColumn id="3" xr3:uid="{06D84677-DF39-4176-BCCC-769BC06F025B}" name="الإيميل" dataDxfId="12"/>
    <tableColumn id="5" xr3:uid="{B8AA4060-22A3-4F22-B134-3580AA891C24}" name="المدينة" dataDxfId="11"/>
    <tableColumn id="6" xr3:uid="{30304E96-A9C5-41BE-BF01-E1C4CCA1A630}" name="رقم الهاتف" dataDxfId="10"/>
    <tableColumn id="7" xr3:uid="{214162F4-D1C2-4C9B-B4C9-A84F9BCD6B28}" name="العنوان" dataDxfId="9"/>
    <tableColumn id="8" xr3:uid="{72F6AFBA-10EF-469D-BC1C-ACA6FED25302}" name="إسم الزبون" dataDxfId="8"/>
    <tableColumn id="9" xr3:uid="{DDC5D034-9F51-4658-98B1-732C7E64333F}" name="الرقم التعريفي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074AA3-DBCB-4151-90B0-E4889A70A113}" name="Tableau35" displayName="Tableau35" ref="E5:I7" totalsRowShown="0" headerRowDxfId="6" dataDxfId="5">
  <autoFilter ref="E5:I7" xr:uid="{699D7B6D-4498-4656-9F93-107DD7A3EEE7}">
    <filterColumn colId="0">
      <filters>
        <dateGroupItem year="2014" dateTimeGrouping="year"/>
      </filters>
    </filterColumn>
  </autoFilter>
  <tableColumns count="5">
    <tableColumn id="3" xr3:uid="{54538B27-B889-4559-BF59-CFF1FC5B3514}" name="التاريخ" dataDxfId="4"/>
    <tableColumn id="4" xr3:uid="{841F8C9A-9980-42FF-BA63-715B4B491519}" name="الرمز التعريفي" dataDxfId="3" dataCellStyle="Monétaire"/>
    <tableColumn id="5" xr3:uid="{659D9EB1-64AE-4298-AEA0-959EEABB6390}" name="إسم المنتج" dataDxfId="2">
      <calculatedColumnFormula>IFERROR(VLOOKUP(Tableau35[[#This Row],[الرمز التعريفي]],stock[],2,FALSE),"")</calculatedColumnFormula>
    </tableColumn>
    <tableColumn id="7" xr3:uid="{FDE9EE3B-D26A-4127-BE57-9F1867236546}" name="المدخلات" dataDxfId="1"/>
    <tableColumn id="8" xr3:uid="{829607CA-F849-4461-BC6B-AA8400963C7B}" name="المخرجات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hp\Downloads\Factures\ayman\" TargetMode="External"/><Relationship Id="rId7" Type="http://schemas.openxmlformats.org/officeDocument/2006/relationships/table" Target="../tables/table3.xml"/><Relationship Id="rId2" Type="http://schemas.openxmlformats.org/officeDocument/2006/relationships/hyperlink" Target="file:///C:\Users\hp\Downloads\Factures\mohamed\" TargetMode="External"/><Relationship Id="rId1" Type="http://schemas.openxmlformats.org/officeDocument/2006/relationships/hyperlink" Target="file:///C:\Users\hp\Downloads\Factures\maimoun\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file:///C:\Users\hp\Downloads\Factures\imad\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FC60F-ABA9-4A68-BFB8-439AC2546DDE}">
  <sheetPr codeName="Feuil1"/>
  <dimension ref="A1:L16"/>
  <sheetViews>
    <sheetView showGridLines="0" tabSelected="1" workbookViewId="0">
      <selection activeCell="I8" sqref="I8"/>
    </sheetView>
  </sheetViews>
  <sheetFormatPr baseColWidth="10" defaultRowHeight="19.95" customHeight="1" x14ac:dyDescent="0.3"/>
  <cols>
    <col min="1" max="1" width="5.88671875" style="1" customWidth="1"/>
    <col min="2" max="2" width="7.88671875" style="1" customWidth="1"/>
    <col min="3" max="3" width="23.88671875" style="1" customWidth="1"/>
    <col min="4" max="4" width="16.109375" style="12" bestFit="1" customWidth="1"/>
    <col min="5" max="5" width="15.77734375" style="12" customWidth="1"/>
    <col min="6" max="6" width="15.109375" style="12" customWidth="1"/>
    <col min="7" max="7" width="15.5546875" style="12" customWidth="1"/>
    <col min="8" max="8" width="13.88671875" style="12" customWidth="1"/>
    <col min="9" max="9" width="19.44140625" style="12" customWidth="1"/>
    <col min="10" max="10" width="18.88671875" style="12" customWidth="1"/>
    <col min="11" max="16384" width="11.5546875" style="1"/>
  </cols>
  <sheetData>
    <row r="1" spans="1:12" s="11" customFormat="1" ht="19.95" customHeight="1" x14ac:dyDescent="0.3">
      <c r="A1" s="1"/>
      <c r="B1" s="7"/>
      <c r="C1" s="7"/>
      <c r="D1" s="7"/>
      <c r="E1" s="7"/>
      <c r="F1" s="7"/>
      <c r="G1" s="7"/>
      <c r="H1" s="7"/>
      <c r="I1" s="7"/>
      <c r="J1" s="7"/>
      <c r="K1" s="7"/>
      <c r="L1" s="7"/>
    </row>
    <row r="2" spans="1:12" s="11" customFormat="1" ht="19.95" customHeight="1" x14ac:dyDescent="0.3">
      <c r="A2" s="1"/>
      <c r="B2" s="7"/>
      <c r="C2" s="7"/>
      <c r="D2" s="7"/>
      <c r="E2" s="7"/>
      <c r="F2" s="65" t="s">
        <v>3</v>
      </c>
      <c r="G2" s="66"/>
      <c r="H2" s="66"/>
      <c r="I2" s="7"/>
      <c r="J2" s="7"/>
      <c r="K2" s="7"/>
      <c r="L2" s="7"/>
    </row>
    <row r="3" spans="1:12" s="11" customFormat="1" ht="19.95" customHeight="1" x14ac:dyDescent="0.3">
      <c r="A3" s="1"/>
      <c r="B3" s="7"/>
      <c r="C3" s="7"/>
      <c r="D3" s="7"/>
      <c r="E3" s="7"/>
      <c r="F3" s="66"/>
      <c r="G3" s="66"/>
      <c r="H3" s="66"/>
      <c r="I3" s="7"/>
      <c r="J3" s="7"/>
      <c r="K3" s="7"/>
      <c r="L3" s="7"/>
    </row>
    <row r="4" spans="1:12" ht="19.95" customHeight="1" x14ac:dyDescent="0.3">
      <c r="D4" s="1"/>
      <c r="E4" s="1"/>
      <c r="F4" s="2"/>
      <c r="G4" s="2"/>
      <c r="H4" s="2"/>
      <c r="I4" s="1"/>
      <c r="J4" s="1"/>
    </row>
    <row r="5" spans="1:12" ht="19.95" customHeight="1" x14ac:dyDescent="0.3">
      <c r="D5" s="1"/>
      <c r="E5" s="3"/>
      <c r="F5" s="67">
        <v>45417</v>
      </c>
      <c r="G5" s="68"/>
      <c r="H5" s="4" t="s">
        <v>4</v>
      </c>
      <c r="I5" s="1"/>
      <c r="J5" s="1"/>
    </row>
    <row r="6" spans="1:12" ht="19.95" customHeight="1" x14ac:dyDescent="0.3">
      <c r="D6" s="1"/>
      <c r="E6" s="3"/>
      <c r="F6" s="59" t="s">
        <v>34</v>
      </c>
      <c r="G6" s="60"/>
      <c r="H6" s="5" t="s">
        <v>5</v>
      </c>
      <c r="I6" s="1"/>
      <c r="J6" s="1"/>
    </row>
    <row r="7" spans="1:12" ht="19.95" customHeight="1" x14ac:dyDescent="0.3">
      <c r="D7" s="1"/>
      <c r="E7" s="3"/>
      <c r="F7" s="59" t="s">
        <v>40</v>
      </c>
      <c r="G7" s="60"/>
      <c r="H7" s="5" t="s">
        <v>1</v>
      </c>
      <c r="I7" s="1"/>
      <c r="J7" s="1"/>
    </row>
    <row r="8" spans="1:12" ht="19.95" customHeight="1" x14ac:dyDescent="0.3">
      <c r="D8" s="1"/>
      <c r="E8" s="3"/>
      <c r="F8" s="59" t="s">
        <v>32</v>
      </c>
      <c r="G8" s="60"/>
      <c r="H8" s="5" t="s">
        <v>2</v>
      </c>
      <c r="I8" s="1"/>
      <c r="J8" s="1"/>
    </row>
    <row r="9" spans="1:12" ht="19.95" customHeight="1" x14ac:dyDescent="0.3">
      <c r="D9" s="1"/>
      <c r="E9" s="3"/>
      <c r="F9" s="59">
        <v>20</v>
      </c>
      <c r="G9" s="60"/>
      <c r="H9" s="6" t="s">
        <v>6</v>
      </c>
      <c r="I9" s="1"/>
      <c r="J9" s="1"/>
    </row>
    <row r="10" spans="1:12" ht="19.95" customHeight="1" x14ac:dyDescent="0.3">
      <c r="D10" s="1"/>
      <c r="E10" s="3"/>
      <c r="F10" s="61">
        <v>80</v>
      </c>
      <c r="G10" s="62"/>
      <c r="H10" s="5" t="s">
        <v>7</v>
      </c>
      <c r="I10" s="1"/>
      <c r="J10" s="1"/>
    </row>
    <row r="11" spans="1:12" ht="19.95" customHeight="1" x14ac:dyDescent="0.3">
      <c r="D11" s="1"/>
      <c r="E11" s="3"/>
      <c r="F11" s="63">
        <f>F9*F10</f>
        <v>1600</v>
      </c>
      <c r="G11" s="64"/>
      <c r="H11" s="6" t="s">
        <v>8</v>
      </c>
      <c r="I11" s="1"/>
      <c r="J11" s="1"/>
    </row>
    <row r="12" spans="1:12" ht="19.95" customHeight="1" x14ac:dyDescent="0.3">
      <c r="D12" s="1"/>
      <c r="E12" s="1"/>
      <c r="F12" s="1"/>
      <c r="G12" s="1"/>
      <c r="H12" s="1"/>
      <c r="I12" s="1"/>
      <c r="J12" s="1"/>
    </row>
    <row r="13" spans="1:12" ht="19.95" customHeight="1" x14ac:dyDescent="0.3">
      <c r="D13" s="8" t="s">
        <v>8</v>
      </c>
      <c r="E13" s="8" t="s">
        <v>7</v>
      </c>
      <c r="F13" s="8" t="s">
        <v>6</v>
      </c>
      <c r="G13" s="8" t="s">
        <v>2</v>
      </c>
      <c r="H13" s="8" t="s">
        <v>1</v>
      </c>
      <c r="I13" s="8" t="s">
        <v>5</v>
      </c>
      <c r="J13" s="8" t="s">
        <v>4</v>
      </c>
    </row>
    <row r="14" spans="1:12" ht="19.95" hidden="1" customHeight="1" x14ac:dyDescent="0.3">
      <c r="A14" s="49"/>
      <c r="B14" s="49"/>
      <c r="C14" s="12"/>
    </row>
    <row r="15" spans="1:12" ht="19.95" customHeight="1" x14ac:dyDescent="0.3">
      <c r="D15" s="49">
        <v>1600</v>
      </c>
      <c r="E15" s="49">
        <v>80</v>
      </c>
      <c r="F15" s="12">
        <v>20</v>
      </c>
      <c r="G15" s="12" t="s">
        <v>32</v>
      </c>
      <c r="H15" s="12" t="s">
        <v>33</v>
      </c>
      <c r="I15" s="12" t="s">
        <v>34</v>
      </c>
      <c r="J15" s="13">
        <v>45417</v>
      </c>
    </row>
    <row r="16" spans="1:12" ht="19.95" customHeight="1" x14ac:dyDescent="0.3">
      <c r="D16" s="49">
        <v>1600</v>
      </c>
      <c r="E16" s="49">
        <v>80</v>
      </c>
      <c r="F16" s="12">
        <v>20</v>
      </c>
      <c r="G16" s="12" t="s">
        <v>32</v>
      </c>
      <c r="H16" s="12" t="s">
        <v>40</v>
      </c>
      <c r="I16" s="12" t="s">
        <v>34</v>
      </c>
      <c r="J16" s="13">
        <v>45417</v>
      </c>
    </row>
  </sheetData>
  <mergeCells count="8">
    <mergeCell ref="F9:G9"/>
    <mergeCell ref="F10:G10"/>
    <mergeCell ref="F11:G11"/>
    <mergeCell ref="F2:H3"/>
    <mergeCell ref="F5:G5"/>
    <mergeCell ref="F6:G6"/>
    <mergeCell ref="F7:G7"/>
    <mergeCell ref="F8:G8"/>
  </mergeCell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2E474C1-C637-44DB-BD6C-D31A01D8DA4B}">
          <x14:formula1>
            <xm:f>' stock'!$F$6:$F$1048576</xm:f>
          </x14:formula1>
          <xm:sqref>F7:G7</xm:sqref>
        </x14:dataValidation>
        <x14:dataValidation type="list" allowBlank="1" showInputMessage="1" showErrorMessage="1" xr:uid="{86915DF4-BB22-4269-8E88-C764856C4896}">
          <x14:formula1>
            <xm:f>' stock'!$E$6:$E$1048576</xm:f>
          </x14:formula1>
          <xm:sqref>F8:G8</xm:sqref>
        </x14:dataValidation>
        <x14:dataValidation type="list" allowBlank="1" showInputMessage="1" showErrorMessage="1" xr:uid="{A6137DF2-7746-43E6-8CCC-728023889581}">
          <x14:formula1>
            <xm:f>'client'!$K$14:$K$1048576</xm:f>
          </x14:formula1>
          <xm:sqref>F6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1F3CB-38CD-43D7-9A8C-6F810A1A5FC8}">
  <sheetPr codeName="Feuil3"/>
  <dimension ref="E1:Q8"/>
  <sheetViews>
    <sheetView showGridLines="0" workbookViewId="0">
      <selection activeCell="F9" sqref="F9"/>
    </sheetView>
  </sheetViews>
  <sheetFormatPr baseColWidth="10" defaultRowHeight="19.95" customHeight="1" x14ac:dyDescent="0.3"/>
  <cols>
    <col min="1" max="1" width="9.33203125" style="1" customWidth="1"/>
    <col min="2" max="2" width="11.109375" style="1" customWidth="1"/>
    <col min="3" max="3" width="11.88671875" style="1" customWidth="1"/>
    <col min="4" max="4" width="12.5546875" style="1" customWidth="1"/>
    <col min="5" max="5" width="14.6640625" style="1" customWidth="1"/>
    <col min="6" max="6" width="14.33203125" style="1" customWidth="1"/>
    <col min="7" max="7" width="15.44140625" style="1" bestFit="1" customWidth="1"/>
    <col min="8" max="8" width="15.88671875" style="1" customWidth="1"/>
    <col min="9" max="9" width="15.109375" style="1" customWidth="1"/>
    <col min="10" max="10" width="15.44140625" style="1" customWidth="1"/>
    <col min="11" max="11" width="16.33203125" style="1" customWidth="1"/>
    <col min="12" max="12" width="20.88671875" style="1" customWidth="1"/>
    <col min="13" max="13" width="12.44140625" style="1" bestFit="1" customWidth="1"/>
    <col min="14" max="14" width="12.21875" style="1" bestFit="1" customWidth="1"/>
    <col min="15" max="15" width="15.21875" style="1" bestFit="1" customWidth="1"/>
    <col min="16" max="16" width="12.88671875" style="1" bestFit="1" customWidth="1"/>
    <col min="17" max="17" width="14.33203125" style="1" bestFit="1" customWidth="1"/>
    <col min="18" max="16384" width="11.5546875" style="1"/>
  </cols>
  <sheetData>
    <row r="1" spans="5:17" s="11" customFormat="1" ht="19.95" customHeight="1" x14ac:dyDescent="0.3">
      <c r="E1" s="10"/>
      <c r="F1" s="10"/>
      <c r="O1" s="10"/>
      <c r="P1" s="10"/>
      <c r="Q1" s="10"/>
    </row>
    <row r="2" spans="5:17" s="11" customFormat="1" ht="19.95" customHeight="1" x14ac:dyDescent="0.3"/>
    <row r="3" spans="5:17" s="11" customFormat="1" ht="30" customHeight="1" x14ac:dyDescent="0.3">
      <c r="F3" s="17"/>
      <c r="G3" s="69" t="s">
        <v>14</v>
      </c>
      <c r="H3" s="69"/>
      <c r="I3" s="69"/>
      <c r="J3" s="17"/>
      <c r="K3" s="17"/>
      <c r="L3" s="17"/>
    </row>
    <row r="5" spans="5:17" ht="19.95" customHeight="1" x14ac:dyDescent="0.3">
      <c r="E5" s="9" t="s">
        <v>2</v>
      </c>
      <c r="F5" s="9" t="s">
        <v>15</v>
      </c>
      <c r="G5" s="9" t="s">
        <v>9</v>
      </c>
      <c r="H5" s="9" t="s">
        <v>10</v>
      </c>
      <c r="I5" s="9" t="s">
        <v>11</v>
      </c>
      <c r="J5" s="9" t="s">
        <v>12</v>
      </c>
      <c r="K5" s="9" t="s">
        <v>16</v>
      </c>
      <c r="L5" s="9" t="s">
        <v>13</v>
      </c>
    </row>
    <row r="6" spans="5:17" ht="19.95" customHeight="1" x14ac:dyDescent="0.3">
      <c r="E6" s="14" t="s">
        <v>35</v>
      </c>
      <c r="F6" s="15" t="s">
        <v>41</v>
      </c>
      <c r="G6" s="14">
        <v>30</v>
      </c>
      <c r="H6" s="14">
        <v>0</v>
      </c>
      <c r="I6" s="14">
        <v>30</v>
      </c>
      <c r="J6" s="14">
        <v>0</v>
      </c>
      <c r="K6" s="16">
        <v>40</v>
      </c>
      <c r="L6" s="42" t="s">
        <v>42</v>
      </c>
    </row>
    <row r="7" spans="5:17" ht="19.95" customHeight="1" x14ac:dyDescent="0.3">
      <c r="E7" s="14" t="s">
        <v>36</v>
      </c>
      <c r="F7" s="15" t="s">
        <v>40</v>
      </c>
      <c r="G7" s="14">
        <v>40</v>
      </c>
      <c r="H7" s="14"/>
      <c r="I7" s="14"/>
      <c r="J7" s="14"/>
      <c r="K7" s="16">
        <v>50</v>
      </c>
      <c r="L7" s="48"/>
    </row>
    <row r="8" spans="5:17" ht="19.95" customHeight="1" x14ac:dyDescent="0.3">
      <c r="E8" s="14" t="s">
        <v>38</v>
      </c>
      <c r="F8" s="15" t="s">
        <v>39</v>
      </c>
      <c r="G8" s="14">
        <v>50</v>
      </c>
      <c r="H8" s="14">
        <v>8</v>
      </c>
      <c r="I8" s="14">
        <v>6</v>
      </c>
      <c r="J8" s="14">
        <v>52</v>
      </c>
      <c r="K8" s="16">
        <v>70</v>
      </c>
      <c r="L8" s="58" t="s">
        <v>49</v>
      </c>
    </row>
  </sheetData>
  <mergeCells count="1">
    <mergeCell ref="G3:I3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DD0CC-32D3-47A6-ADE0-4B61A7494049}">
  <sheetPr codeName="Feuil2"/>
  <dimension ref="E1:L18"/>
  <sheetViews>
    <sheetView showGridLines="0" workbookViewId="0">
      <selection activeCell="K14" sqref="K14"/>
    </sheetView>
  </sheetViews>
  <sheetFormatPr baseColWidth="10" defaultRowHeight="19.95" customHeight="1" x14ac:dyDescent="0.3"/>
  <cols>
    <col min="1" max="4" width="11.5546875" style="1"/>
    <col min="5" max="5" width="13.5546875" style="1" customWidth="1"/>
    <col min="6" max="6" width="16.77734375" style="1" customWidth="1"/>
    <col min="7" max="7" width="20.33203125" style="1" customWidth="1"/>
    <col min="8" max="8" width="13" style="1" bestFit="1" customWidth="1"/>
    <col min="9" max="9" width="14.44140625" style="1" customWidth="1"/>
    <col min="10" max="10" width="12.77734375" style="1" bestFit="1" customWidth="1"/>
    <col min="11" max="11" width="14.6640625" style="1" bestFit="1" customWidth="1"/>
    <col min="12" max="12" width="14.33203125" style="1" customWidth="1"/>
    <col min="13" max="16384" width="11.5546875" style="1"/>
  </cols>
  <sheetData>
    <row r="1" spans="5:12" s="11" customFormat="1" ht="19.95" customHeight="1" x14ac:dyDescent="0.3">
      <c r="E1" s="23"/>
      <c r="H1" s="23"/>
    </row>
    <row r="2" spans="5:12" s="11" customFormat="1" ht="13.2" customHeight="1" x14ac:dyDescent="0.3">
      <c r="E2" s="23"/>
      <c r="F2" s="18"/>
    </row>
    <row r="3" spans="5:12" s="11" customFormat="1" ht="28.2" customHeight="1" x14ac:dyDescent="0.3">
      <c r="G3" s="70" t="s">
        <v>37</v>
      </c>
      <c r="H3" s="71"/>
      <c r="I3" s="71"/>
    </row>
    <row r="5" spans="5:12" ht="19.95" customHeight="1" x14ac:dyDescent="0.3">
      <c r="G5" s="47" t="s">
        <v>27</v>
      </c>
      <c r="H5" s="74" t="s">
        <v>18</v>
      </c>
      <c r="I5" s="75"/>
    </row>
    <row r="6" spans="5:12" ht="19.95" customHeight="1" x14ac:dyDescent="0.3">
      <c r="G6" s="43"/>
      <c r="H6" s="76" t="s">
        <v>19</v>
      </c>
      <c r="I6" s="77"/>
    </row>
    <row r="7" spans="5:12" ht="19.95" customHeight="1" x14ac:dyDescent="0.3">
      <c r="G7" s="43"/>
      <c r="H7" s="76" t="s">
        <v>20</v>
      </c>
      <c r="I7" s="77"/>
    </row>
    <row r="8" spans="5:12" ht="19.95" customHeight="1" x14ac:dyDescent="0.3">
      <c r="G8" s="43"/>
      <c r="H8" s="76" t="s">
        <v>21</v>
      </c>
      <c r="I8" s="77"/>
    </row>
    <row r="9" spans="5:12" ht="19.95" customHeight="1" x14ac:dyDescent="0.3">
      <c r="G9" s="43"/>
      <c r="H9" s="76" t="s">
        <v>22</v>
      </c>
      <c r="I9" s="77"/>
    </row>
    <row r="10" spans="5:12" ht="19.95" customHeight="1" x14ac:dyDescent="0.3">
      <c r="G10" s="44"/>
      <c r="H10" s="72" t="s">
        <v>23</v>
      </c>
      <c r="I10" s="73"/>
    </row>
    <row r="13" spans="5:12" ht="19.95" customHeight="1" x14ac:dyDescent="0.3">
      <c r="E13" s="9" t="s">
        <v>26</v>
      </c>
      <c r="F13" s="9" t="s">
        <v>25</v>
      </c>
      <c r="G13" s="9" t="s">
        <v>23</v>
      </c>
      <c r="H13" s="9" t="s">
        <v>22</v>
      </c>
      <c r="I13" s="9" t="s">
        <v>24</v>
      </c>
      <c r="J13" s="9" t="s">
        <v>20</v>
      </c>
      <c r="K13" s="9" t="s">
        <v>19</v>
      </c>
      <c r="L13" s="9" t="s">
        <v>43</v>
      </c>
    </row>
    <row r="14" spans="5:12" ht="19.95" customHeight="1" x14ac:dyDescent="0.3">
      <c r="E14" s="45" t="s">
        <v>46</v>
      </c>
      <c r="F14" s="46">
        <v>45559</v>
      </c>
      <c r="G14" s="14"/>
      <c r="H14" s="14"/>
      <c r="I14" s="14"/>
      <c r="J14" s="14"/>
      <c r="K14" s="14" t="s">
        <v>47</v>
      </c>
      <c r="L14" s="14">
        <v>1</v>
      </c>
    </row>
    <row r="15" spans="5:12" ht="19.95" customHeight="1" x14ac:dyDescent="0.3">
      <c r="E15" s="45" t="s">
        <v>46</v>
      </c>
      <c r="F15" s="46">
        <v>45559</v>
      </c>
      <c r="G15" s="14"/>
      <c r="H15" s="14"/>
      <c r="I15" s="14"/>
      <c r="J15" s="14"/>
      <c r="K15" s="14" t="s">
        <v>34</v>
      </c>
      <c r="L15" s="14">
        <v>2</v>
      </c>
    </row>
    <row r="16" spans="5:12" ht="19.95" customHeight="1" x14ac:dyDescent="0.3">
      <c r="E16" s="45" t="s">
        <v>46</v>
      </c>
      <c r="F16" s="46">
        <v>45559</v>
      </c>
      <c r="G16" s="14"/>
      <c r="H16" s="14"/>
      <c r="I16" s="14"/>
      <c r="J16" s="14"/>
      <c r="K16" s="14" t="s">
        <v>48</v>
      </c>
      <c r="L16" s="14">
        <v>3</v>
      </c>
    </row>
    <row r="17" spans="5:12" ht="19.95" customHeight="1" x14ac:dyDescent="0.3">
      <c r="E17" s="45"/>
      <c r="F17" s="46">
        <v>45559</v>
      </c>
      <c r="G17" s="14"/>
      <c r="H17" s="14"/>
      <c r="I17" s="14"/>
      <c r="J17" s="14"/>
      <c r="K17" s="14"/>
      <c r="L17" s="14">
        <v>4</v>
      </c>
    </row>
    <row r="18" spans="5:12" ht="19.95" customHeight="1" x14ac:dyDescent="0.3">
      <c r="E18" s="45" t="s">
        <v>46</v>
      </c>
      <c r="F18" s="46">
        <v>45559</v>
      </c>
      <c r="G18" s="14"/>
      <c r="H18" s="14" t="s">
        <v>52</v>
      </c>
      <c r="I18" s="14">
        <v>987654</v>
      </c>
      <c r="J18" s="14" t="s">
        <v>51</v>
      </c>
      <c r="K18" s="14" t="s">
        <v>50</v>
      </c>
      <c r="L18" s="14">
        <v>5</v>
      </c>
    </row>
  </sheetData>
  <mergeCells count="7">
    <mergeCell ref="G3:I3"/>
    <mergeCell ref="H10:I10"/>
    <mergeCell ref="H5:I5"/>
    <mergeCell ref="H6:I6"/>
    <mergeCell ref="H7:I7"/>
    <mergeCell ref="H8:I8"/>
    <mergeCell ref="H9:I9"/>
  </mergeCells>
  <hyperlinks>
    <hyperlink ref="E16" r:id="rId1" xr:uid="{7549406C-ABDC-42E1-995E-45E44F10DE7E}"/>
    <hyperlink ref="E15" r:id="rId2" xr:uid="{8E205261-A948-42EE-A250-6B5D412C641E}"/>
    <hyperlink ref="E14" r:id="rId3" xr:uid="{902A53D7-2471-4985-AE7B-AEE8DC38770C}"/>
    <hyperlink ref="E18" r:id="rId4" xr:uid="{A6B9C9D7-BCD4-48AF-92E6-4B66A0E9D25F}"/>
  </hyperlinks>
  <pageMargins left="0.7" right="0.7" top="0.75" bottom="0.75" header="0.3" footer="0.3"/>
  <pageSetup paperSize="9" orientation="portrait" r:id="rId5"/>
  <drawing r:id="rId6"/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D1AEB-608E-49CE-A614-576375E0554F}">
  <sheetPr codeName="Feuil5"/>
  <dimension ref="E1:Q7"/>
  <sheetViews>
    <sheetView workbookViewId="0">
      <selection activeCell="I7" sqref="I7"/>
    </sheetView>
  </sheetViews>
  <sheetFormatPr baseColWidth="10" defaultRowHeight="19.95" customHeight="1" x14ac:dyDescent="0.3"/>
  <cols>
    <col min="1" max="1" width="13.109375" style="1" customWidth="1"/>
    <col min="2" max="2" width="11.109375" style="1" customWidth="1"/>
    <col min="3" max="3" width="11.88671875" style="1" customWidth="1"/>
    <col min="4" max="4" width="12.77734375" style="1" customWidth="1"/>
    <col min="5" max="5" width="13.88671875" style="1" customWidth="1"/>
    <col min="6" max="6" width="14.33203125" style="1" customWidth="1"/>
    <col min="7" max="7" width="15.44140625" style="1" bestFit="1" customWidth="1"/>
    <col min="8" max="8" width="11.6640625" style="1" customWidth="1"/>
    <col min="9" max="9" width="15.109375" style="1" customWidth="1"/>
    <col min="10" max="10" width="15.44140625" style="1" customWidth="1"/>
    <col min="11" max="11" width="16.33203125" style="1" customWidth="1"/>
    <col min="12" max="12" width="15.21875" style="1" customWidth="1"/>
    <col min="13" max="13" width="12.44140625" style="1" bestFit="1" customWidth="1"/>
    <col min="14" max="14" width="12.21875" style="1" bestFit="1" customWidth="1"/>
    <col min="15" max="15" width="15.21875" style="1" bestFit="1" customWidth="1"/>
    <col min="16" max="16" width="12.88671875" style="1" bestFit="1" customWidth="1"/>
    <col min="17" max="17" width="14.33203125" style="1" bestFit="1" customWidth="1"/>
    <col min="18" max="16384" width="11.5546875" style="1"/>
  </cols>
  <sheetData>
    <row r="1" spans="5:17" s="11" customFormat="1" ht="19.95" customHeight="1" x14ac:dyDescent="0.3">
      <c r="E1" s="10"/>
      <c r="F1" s="10"/>
      <c r="O1" s="10"/>
      <c r="P1" s="10"/>
      <c r="Q1" s="10"/>
    </row>
    <row r="2" spans="5:17" s="11" customFormat="1" ht="19.95" customHeight="1" x14ac:dyDescent="0.3"/>
    <row r="3" spans="5:17" s="11" customFormat="1" ht="19.95" customHeight="1" x14ac:dyDescent="0.3">
      <c r="F3" s="69" t="s">
        <v>17</v>
      </c>
      <c r="G3" s="69"/>
      <c r="H3" s="69"/>
      <c r="I3" s="17"/>
      <c r="J3" s="17"/>
      <c r="K3" s="17"/>
      <c r="L3" s="17"/>
    </row>
    <row r="5" spans="5:17" ht="19.95" customHeight="1" x14ac:dyDescent="0.3">
      <c r="E5" s="9" t="s">
        <v>0</v>
      </c>
      <c r="F5" s="9" t="s">
        <v>2</v>
      </c>
      <c r="G5" s="9" t="s">
        <v>15</v>
      </c>
      <c r="H5" s="9" t="s">
        <v>10</v>
      </c>
      <c r="I5" s="9" t="s">
        <v>11</v>
      </c>
    </row>
    <row r="6" spans="5:17" ht="19.8" customHeight="1" x14ac:dyDescent="0.3">
      <c r="E6" s="13">
        <v>45559</v>
      </c>
      <c r="F6" s="41" t="s">
        <v>35</v>
      </c>
      <c r="G6" s="12" t="str">
        <f>IFERROR(VLOOKUP(Tableau35[[#This Row],[الرمز التعريفي]],stock[],2,FALSE),"")</f>
        <v>pon</v>
      </c>
      <c r="H6" s="12">
        <v>0</v>
      </c>
      <c r="I6" s="12">
        <v>30</v>
      </c>
    </row>
    <row r="7" spans="5:17" ht="19.95" customHeight="1" x14ac:dyDescent="0.3">
      <c r="E7" s="13">
        <v>45415</v>
      </c>
      <c r="F7" s="41" t="s">
        <v>38</v>
      </c>
      <c r="G7" s="12" t="str">
        <f>IFERROR(VLOOKUP(Tableau35[[#This Row],[الرمز التعريفي]],stock[],2,FALSE),"")</f>
        <v>pon girl</v>
      </c>
      <c r="H7" s="12">
        <v>8</v>
      </c>
      <c r="I7" s="12">
        <v>6</v>
      </c>
    </row>
  </sheetData>
  <mergeCells count="1">
    <mergeCell ref="F3:H3"/>
  </mergeCell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723D0E-43C8-4596-9402-B60D496491B4}">
          <x14:formula1>
            <xm:f>' stock'!$E$6:$E$1048576</xm:f>
          </x14:formula1>
          <xm:sqref>F6:F7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BFCA-0B43-4A2C-9F46-BC43454490E9}">
  <sheetPr codeName="Feuil4"/>
  <dimension ref="A1:F32"/>
  <sheetViews>
    <sheetView showGridLines="0" view="pageLayout" zoomScaleNormal="100" workbookViewId="0">
      <selection activeCell="E2" sqref="E2"/>
    </sheetView>
  </sheetViews>
  <sheetFormatPr baseColWidth="10" defaultRowHeight="14.4" x14ac:dyDescent="0.3"/>
  <cols>
    <col min="1" max="1" width="15.33203125" customWidth="1"/>
    <col min="2" max="2" width="15" customWidth="1"/>
    <col min="4" max="4" width="10.109375" customWidth="1"/>
    <col min="5" max="5" width="15.6640625" customWidth="1"/>
    <col min="6" max="6" width="10" customWidth="1"/>
    <col min="7" max="7" width="13" customWidth="1"/>
  </cols>
  <sheetData>
    <row r="1" spans="1:6" ht="41.4" customHeight="1" x14ac:dyDescent="0.4">
      <c r="A1" t="s">
        <v>53</v>
      </c>
      <c r="B1" s="26"/>
      <c r="F1" s="28" t="s">
        <v>28</v>
      </c>
    </row>
    <row r="3" spans="1:6" x14ac:dyDescent="0.3">
      <c r="B3" s="21"/>
      <c r="C3" s="21"/>
    </row>
    <row r="4" spans="1:6" x14ac:dyDescent="0.3">
      <c r="A4" s="20"/>
      <c r="C4" s="19" t="s">
        <v>19</v>
      </c>
      <c r="E4" s="55" t="s">
        <v>44</v>
      </c>
      <c r="F4" s="19" t="s">
        <v>29</v>
      </c>
    </row>
    <row r="5" spans="1:6" x14ac:dyDescent="0.3">
      <c r="A5" s="20"/>
      <c r="C5" s="20" t="s">
        <v>20</v>
      </c>
      <c r="E5" s="56" t="s">
        <v>45</v>
      </c>
      <c r="F5" s="20" t="s">
        <v>20</v>
      </c>
    </row>
    <row r="6" spans="1:6" x14ac:dyDescent="0.3">
      <c r="A6" s="20"/>
      <c r="B6" s="27"/>
      <c r="C6" s="22" t="s">
        <v>21</v>
      </c>
      <c r="E6" s="57">
        <v>909090909</v>
      </c>
      <c r="F6" s="22" t="s">
        <v>21</v>
      </c>
    </row>
    <row r="7" spans="1:6" x14ac:dyDescent="0.3">
      <c r="B7" s="25"/>
    </row>
    <row r="8" spans="1:6" ht="15" thickBot="1" x14ac:dyDescent="0.35"/>
    <row r="9" spans="1:6" ht="15" thickBot="1" x14ac:dyDescent="0.35">
      <c r="B9" s="37" t="s">
        <v>30</v>
      </c>
      <c r="C9" s="38" t="s">
        <v>16</v>
      </c>
      <c r="D9" s="39" t="s">
        <v>6</v>
      </c>
      <c r="E9" s="39" t="s">
        <v>15</v>
      </c>
      <c r="F9" s="40" t="s">
        <v>2</v>
      </c>
    </row>
    <row r="10" spans="1:6" ht="15" thickBot="1" x14ac:dyDescent="0.35"/>
    <row r="11" spans="1:6" x14ac:dyDescent="0.3">
      <c r="B11" s="29">
        <f>IF(D11="","",D11*C11)</f>
        <v>500</v>
      </c>
      <c r="C11" s="50">
        <f>IFERROR(VLOOKUP(F11,stock[],7,FALSE),"")</f>
        <v>50</v>
      </c>
      <c r="D11" s="30">
        <v>10</v>
      </c>
      <c r="E11" s="30" t="str">
        <f>IFERROR(VLOOKUP(F11,stock[],2,FALSE),"")</f>
        <v>pon boy</v>
      </c>
      <c r="F11" s="31" t="s">
        <v>36</v>
      </c>
    </row>
    <row r="12" spans="1:6" x14ac:dyDescent="0.3">
      <c r="B12" s="32">
        <f t="shared" ref="B12:B31" si="0">IF(D12="","",D12*C12)</f>
        <v>2500</v>
      </c>
      <c r="C12" s="51">
        <f>IFERROR(VLOOKUP(F12,stock[],7,FALSE),"")</f>
        <v>50</v>
      </c>
      <c r="D12" s="24">
        <v>50</v>
      </c>
      <c r="E12" s="24" t="str">
        <f>IFERROR(VLOOKUP(F12,stock[],2,FALSE),"")</f>
        <v>pon boy</v>
      </c>
      <c r="F12" s="33" t="s">
        <v>36</v>
      </c>
    </row>
    <row r="13" spans="1:6" x14ac:dyDescent="0.3">
      <c r="B13" s="32">
        <f t="shared" si="0"/>
        <v>1500</v>
      </c>
      <c r="C13" s="51">
        <f>IFERROR(VLOOKUP(F13,stock[],7,FALSE),"")</f>
        <v>50</v>
      </c>
      <c r="D13" s="24">
        <v>30</v>
      </c>
      <c r="E13" s="24" t="str">
        <f>IFERROR(VLOOKUP(F13,stock[],2,FALSE),"")</f>
        <v>pon boy</v>
      </c>
      <c r="F13" s="33" t="s">
        <v>36</v>
      </c>
    </row>
    <row r="14" spans="1:6" x14ac:dyDescent="0.3">
      <c r="B14" s="32" t="str">
        <f t="shared" si="0"/>
        <v/>
      </c>
      <c r="C14" s="51" t="str">
        <f>IFERROR(VLOOKUP(F14,stock[],7,FALSE),"")</f>
        <v/>
      </c>
      <c r="D14" s="24"/>
      <c r="E14" s="24" t="str">
        <f>IFERROR(VLOOKUP(F14,stock[],2,FALSE),"")</f>
        <v/>
      </c>
      <c r="F14" s="33"/>
    </row>
    <row r="15" spans="1:6" x14ac:dyDescent="0.3">
      <c r="B15" s="32" t="str">
        <f t="shared" si="0"/>
        <v/>
      </c>
      <c r="C15" s="51" t="str">
        <f>IFERROR(VLOOKUP(F15,stock[],7,FALSE),"")</f>
        <v/>
      </c>
      <c r="D15" s="24"/>
      <c r="E15" s="24" t="str">
        <f>IFERROR(VLOOKUP(F15,stock[],2,FALSE),"")</f>
        <v/>
      </c>
      <c r="F15" s="33"/>
    </row>
    <row r="16" spans="1:6" x14ac:dyDescent="0.3">
      <c r="B16" s="32" t="str">
        <f t="shared" si="0"/>
        <v/>
      </c>
      <c r="C16" s="51" t="str">
        <f>IFERROR(VLOOKUP(F16,stock[],7,FALSE),"")</f>
        <v/>
      </c>
      <c r="D16" s="24"/>
      <c r="E16" s="24" t="str">
        <f>IFERROR(VLOOKUP(F16,stock[],2,FALSE),"")</f>
        <v/>
      </c>
      <c r="F16" s="33"/>
    </row>
    <row r="17" spans="2:6" x14ac:dyDescent="0.3">
      <c r="B17" s="32" t="str">
        <f t="shared" si="0"/>
        <v/>
      </c>
      <c r="C17" s="51" t="str">
        <f>IFERROR(VLOOKUP(F17,stock[],7,FALSE),"")</f>
        <v/>
      </c>
      <c r="D17" s="24"/>
      <c r="E17" s="24" t="str">
        <f>IFERROR(VLOOKUP(F17,stock[],2,FALSE),"")</f>
        <v/>
      </c>
      <c r="F17" s="33"/>
    </row>
    <row r="18" spans="2:6" x14ac:dyDescent="0.3">
      <c r="B18" s="32" t="str">
        <f t="shared" si="0"/>
        <v/>
      </c>
      <c r="C18" s="51" t="str">
        <f>IFERROR(VLOOKUP(F18,stock[],7,FALSE),"")</f>
        <v/>
      </c>
      <c r="D18" s="24"/>
      <c r="E18" s="24" t="str">
        <f>IFERROR(VLOOKUP(F18,stock[],2,FALSE),"")</f>
        <v/>
      </c>
      <c r="F18" s="33"/>
    </row>
    <row r="19" spans="2:6" x14ac:dyDescent="0.3">
      <c r="B19" s="32" t="str">
        <f t="shared" si="0"/>
        <v/>
      </c>
      <c r="C19" s="51" t="str">
        <f>IFERROR(VLOOKUP(F19,stock[],7,FALSE),"")</f>
        <v/>
      </c>
      <c r="D19" s="24"/>
      <c r="E19" s="24" t="str">
        <f>IFERROR(VLOOKUP(F19,stock[],2,FALSE),"")</f>
        <v/>
      </c>
      <c r="F19" s="33"/>
    </row>
    <row r="20" spans="2:6" x14ac:dyDescent="0.3">
      <c r="B20" s="32" t="str">
        <f t="shared" si="0"/>
        <v/>
      </c>
      <c r="C20" s="51" t="str">
        <f>IFERROR(VLOOKUP(F20,stock[],7,FALSE),"")</f>
        <v/>
      </c>
      <c r="D20" s="24"/>
      <c r="E20" s="24" t="str">
        <f>IFERROR(VLOOKUP(F20,stock[],2,FALSE),"")</f>
        <v/>
      </c>
      <c r="F20" s="33"/>
    </row>
    <row r="21" spans="2:6" x14ac:dyDescent="0.3">
      <c r="B21" s="32" t="str">
        <f t="shared" si="0"/>
        <v/>
      </c>
      <c r="C21" s="51" t="str">
        <f>IFERROR(VLOOKUP(F21,stock[],7,FALSE),"")</f>
        <v/>
      </c>
      <c r="D21" s="24"/>
      <c r="E21" s="24" t="str">
        <f>IFERROR(VLOOKUP(F21,stock[],2,FALSE),"")</f>
        <v/>
      </c>
      <c r="F21" s="33"/>
    </row>
    <row r="22" spans="2:6" x14ac:dyDescent="0.3">
      <c r="B22" s="32" t="str">
        <f t="shared" si="0"/>
        <v/>
      </c>
      <c r="C22" s="51" t="str">
        <f>IFERROR(VLOOKUP(F22,stock[],7,FALSE),"")</f>
        <v/>
      </c>
      <c r="D22" s="24"/>
      <c r="E22" s="24" t="str">
        <f>IFERROR(VLOOKUP(F22,stock[],2,FALSE),"")</f>
        <v/>
      </c>
      <c r="F22" s="33"/>
    </row>
    <row r="23" spans="2:6" x14ac:dyDescent="0.3">
      <c r="B23" s="32" t="str">
        <f t="shared" si="0"/>
        <v/>
      </c>
      <c r="C23" s="51" t="str">
        <f>IFERROR(VLOOKUP(F23,stock[],7,FALSE),"")</f>
        <v/>
      </c>
      <c r="D23" s="24"/>
      <c r="E23" s="24" t="str">
        <f>IFERROR(VLOOKUP(F23,stock[],2,FALSE),"")</f>
        <v/>
      </c>
      <c r="F23" s="33"/>
    </row>
    <row r="24" spans="2:6" x14ac:dyDescent="0.3">
      <c r="B24" s="32" t="str">
        <f t="shared" si="0"/>
        <v/>
      </c>
      <c r="C24" s="51" t="str">
        <f>IFERROR(VLOOKUP(F24,stock[],7,FALSE),"")</f>
        <v/>
      </c>
      <c r="D24" s="24"/>
      <c r="E24" s="24" t="str">
        <f>IFERROR(VLOOKUP(F24,stock[],2,FALSE),"")</f>
        <v/>
      </c>
      <c r="F24" s="33"/>
    </row>
    <row r="25" spans="2:6" x14ac:dyDescent="0.3">
      <c r="B25" s="32" t="str">
        <f t="shared" si="0"/>
        <v/>
      </c>
      <c r="C25" s="51" t="str">
        <f>IFERROR(VLOOKUP(F25,stock[],7,FALSE),"")</f>
        <v/>
      </c>
      <c r="D25" s="24"/>
      <c r="E25" s="24" t="str">
        <f>IFERROR(VLOOKUP(F25,stock[],2,FALSE),"")</f>
        <v/>
      </c>
      <c r="F25" s="33"/>
    </row>
    <row r="26" spans="2:6" x14ac:dyDescent="0.3">
      <c r="B26" s="32" t="str">
        <f t="shared" si="0"/>
        <v/>
      </c>
      <c r="C26" s="51" t="str">
        <f>IFERROR(VLOOKUP(F26,stock[],7,FALSE),"")</f>
        <v/>
      </c>
      <c r="D26" s="24"/>
      <c r="E26" s="24" t="str">
        <f>IFERROR(VLOOKUP(F26,stock[],2,FALSE),"")</f>
        <v/>
      </c>
      <c r="F26" s="33"/>
    </row>
    <row r="27" spans="2:6" x14ac:dyDescent="0.3">
      <c r="B27" s="32" t="str">
        <f t="shared" si="0"/>
        <v/>
      </c>
      <c r="C27" s="51" t="str">
        <f>IFERROR(VLOOKUP(F27,stock[],7,FALSE),"")</f>
        <v/>
      </c>
      <c r="D27" s="24"/>
      <c r="E27" s="24" t="str">
        <f>IFERROR(VLOOKUP(F27,stock[],2,FALSE),"")</f>
        <v/>
      </c>
      <c r="F27" s="33"/>
    </row>
    <row r="28" spans="2:6" x14ac:dyDescent="0.3">
      <c r="B28" s="32" t="str">
        <f t="shared" si="0"/>
        <v/>
      </c>
      <c r="C28" s="51" t="str">
        <f>IFERROR(VLOOKUP(F28,stock[],7,FALSE),"")</f>
        <v/>
      </c>
      <c r="D28" s="24"/>
      <c r="E28" s="24" t="str">
        <f>IFERROR(VLOOKUP(F28,stock[],2,FALSE),"")</f>
        <v/>
      </c>
      <c r="F28" s="33"/>
    </row>
    <row r="29" spans="2:6" x14ac:dyDescent="0.3">
      <c r="B29" s="32" t="str">
        <f t="shared" si="0"/>
        <v/>
      </c>
      <c r="C29" s="51" t="str">
        <f>IFERROR(VLOOKUP(F29,stock[],7,FALSE),"")</f>
        <v/>
      </c>
      <c r="D29" s="24"/>
      <c r="E29" s="24" t="str">
        <f>IFERROR(VLOOKUP(F29,stock[],2,FALSE),"")</f>
        <v/>
      </c>
      <c r="F29" s="33"/>
    </row>
    <row r="30" spans="2:6" x14ac:dyDescent="0.3">
      <c r="B30" s="32" t="str">
        <f t="shared" si="0"/>
        <v/>
      </c>
      <c r="C30" s="51" t="str">
        <f>IFERROR(VLOOKUP(F30,stock[],7,FALSE),"")</f>
        <v/>
      </c>
      <c r="D30" s="24"/>
      <c r="E30" s="24" t="str">
        <f>IFERROR(VLOOKUP(F30,stock[],2,FALSE),"")</f>
        <v/>
      </c>
      <c r="F30" s="33"/>
    </row>
    <row r="31" spans="2:6" ht="15" thickBot="1" x14ac:dyDescent="0.35">
      <c r="B31" s="34" t="str">
        <f t="shared" si="0"/>
        <v/>
      </c>
      <c r="C31" s="52" t="str">
        <f>IFERROR(VLOOKUP(F31,stock[],7,FALSE),"")</f>
        <v/>
      </c>
      <c r="D31" s="35"/>
      <c r="E31" s="35" t="str">
        <f>IFERROR(VLOOKUP(F31,stock[],2,FALSE),"")</f>
        <v/>
      </c>
      <c r="F31" s="36"/>
    </row>
    <row r="32" spans="2:6" ht="21" customHeight="1" thickBot="1" x14ac:dyDescent="0.35">
      <c r="B32" s="53">
        <f>SUM(B11:B31)</f>
        <v>4500</v>
      </c>
      <c r="C32" s="54" t="s">
        <v>31</v>
      </c>
    </row>
  </sheetData>
  <pageMargins left="0.15748031496062992" right="0.70866141732283472" top="0.74803149606299213" bottom="0.74803149606299213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EE1AB7-810D-4203-A3BA-AEFD8D0E0ADF}">
          <x14:formula1>
            <xm:f>' stock'!$E$6:$E$1048576</xm:f>
          </x14:formula1>
          <xm:sqref>F11:F31</xm:sqref>
        </x14:dataValidation>
        <x14:dataValidation type="list" allowBlank="1" showInputMessage="1" showErrorMessage="1" xr:uid="{8FA80D12-6954-4C62-8B36-4BB13F08D8D0}">
          <x14:formula1>
            <xm:f>'client'!$K$14:$K$1048576</xm:f>
          </x14:formula1>
          <xm:sqref>B4</xm:sqref>
        </x14:dataValidation>
        <x14:dataValidation type="list" allowBlank="1" showInputMessage="1" showErrorMessage="1" xr:uid="{44F928E7-25DD-4E79-A307-393A5E047DE9}">
          <x14:formula1>
            <xm:f>'client'!$J$14:$J$1048576</xm:f>
          </x14:formula1>
          <xm:sqref>B5</xm:sqref>
        </x14:dataValidation>
        <x14:dataValidation type="list" allowBlank="1" showInputMessage="1" showErrorMessage="1" xr:uid="{93E4D2B7-2DCB-42E0-B247-8AACBE2F6A5E}">
          <x14:formula1>
            <xm:f>'client'!$I$14:$I$1048576</xm:f>
          </x14:formula1>
          <xm:sqref>B6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vente</vt:lpstr>
      <vt:lpstr> stock</vt:lpstr>
      <vt:lpstr>client</vt:lpstr>
      <vt:lpstr>details</vt:lpstr>
      <vt:lpstr>facture</vt:lpstr>
      <vt:lpstr>facture!Zone_d_impression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fatima zohra kasmi</cp:lastModifiedBy>
  <cp:lastPrinted>2024-09-24T16:31:48Z</cp:lastPrinted>
  <dcterms:created xsi:type="dcterms:W3CDTF">2024-09-05T11:31:02Z</dcterms:created>
  <dcterms:modified xsi:type="dcterms:W3CDTF">2026-03-16T23:13:50Z</dcterms:modified>
</cp:coreProperties>
</file>